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G:\My Drive\Education\Baruch College\Current\CIS 3367\Assignments\Final Video\"/>
    </mc:Choice>
  </mc:AlternateContent>
  <xr:revisionPtr revIDLastSave="0" documentId="13_ncr:1_{99323B72-45C7-4BF3-B133-75F62EC6667C}" xr6:coauthVersionLast="47" xr6:coauthVersionMax="47" xr10:uidLastSave="{00000000-0000-0000-0000-000000000000}"/>
  <bookViews>
    <workbookView xWindow="-120" yWindow="-120" windowWidth="29040" windowHeight="15720" tabRatio="784" xr2:uid="{00000000-000D-0000-FFFF-FFFF00000000}"/>
  </bookViews>
  <sheets>
    <sheet name="Mortgage Calculator" sheetId="24" r:id="rId1"/>
    <sheet name="Income Tax Rates" sheetId="23" r:id="rId2"/>
    <sheet name="List and Sale Prices" sheetId="20" r:id="rId3"/>
    <sheet name="Worksheet" sheetId="4" r:id="rId4"/>
  </sheets>
  <definedNames>
    <definedName name="_xlnm._FilterDatabase" localSheetId="1" hidden="1">'Income Tax Rates'!$A$1:$AG$52</definedName>
    <definedName name="_xlnm._FilterDatabase" localSheetId="2" hidden="1">'List and Sale Prices'!$A$1:$AY$96</definedName>
    <definedName name="_xlcn.WorksheetConnection_MidTerm.xlsxTable11" hidden="1">Table1</definedName>
    <definedName name="_xlcn.WorksheetConnection_MidTerm.xlsxTable21" hidden="1">Table2</definedName>
    <definedName name="solver_adj" localSheetId="0" hidden="1">'Mortgage Calculator'!$B$5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'Mortgage Calculator'!#REF!</definedName>
    <definedName name="solver_lhs2" localSheetId="0" hidden="1">'Mortgage Calculator'!#REF!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'Mortgage Calculator'!$B$30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hs1" localSheetId="0" hidden="1">0.9%</definedName>
    <definedName name="solver_rhs2" localSheetId="0" hidden="1">0.25%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1956.75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Mid-Term.xlsx!Table2"/>
          <x15:modelTable id="Table1" name="Table1" connection="WorksheetConnection_Mid-Term.xlsx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24" l="1"/>
  <c r="B60" i="20"/>
  <c r="B8" i="20"/>
  <c r="B35" i="20"/>
  <c r="B83" i="20"/>
  <c r="B73" i="20"/>
  <c r="B85" i="20"/>
  <c r="B22" i="20"/>
  <c r="B27" i="20"/>
  <c r="B31" i="20"/>
  <c r="B41" i="20"/>
  <c r="B12" i="20"/>
  <c r="B45" i="20"/>
  <c r="B9" i="20"/>
  <c r="B4" i="20"/>
  <c r="B93" i="20"/>
  <c r="B47" i="20"/>
  <c r="B11" i="20"/>
  <c r="B49" i="20"/>
  <c r="B30" i="20"/>
  <c r="B44" i="20"/>
  <c r="B17" i="20"/>
  <c r="B74" i="20"/>
  <c r="B71" i="20"/>
  <c r="B50" i="20"/>
  <c r="B10" i="20"/>
  <c r="B87" i="20"/>
  <c r="B29" i="20"/>
  <c r="B64" i="20"/>
  <c r="B65" i="20"/>
  <c r="B48" i="20"/>
  <c r="B57" i="20"/>
  <c r="B66" i="20"/>
  <c r="B36" i="20"/>
  <c r="B13" i="20"/>
  <c r="B82" i="20"/>
  <c r="B92" i="20"/>
  <c r="B81" i="20"/>
  <c r="B75" i="20"/>
  <c r="B95" i="20"/>
  <c r="B25" i="20"/>
  <c r="B80" i="20"/>
  <c r="B69" i="20"/>
  <c r="B38" i="20"/>
  <c r="B19" i="20"/>
  <c r="B91" i="20"/>
  <c r="B40" i="20"/>
  <c r="B59" i="20"/>
  <c r="B53" i="20"/>
  <c r="B2" i="20"/>
  <c r="B90" i="20"/>
  <c r="B61" i="20"/>
  <c r="B46" i="20"/>
  <c r="B5" i="20"/>
  <c r="B32" i="20"/>
  <c r="B70" i="20"/>
  <c r="B7" i="20"/>
  <c r="B43" i="20"/>
  <c r="B21" i="20"/>
  <c r="B56" i="20"/>
  <c r="B58" i="20"/>
  <c r="B55" i="20"/>
  <c r="B20" i="20"/>
  <c r="B6" i="20"/>
  <c r="B79" i="20"/>
  <c r="B78" i="20"/>
  <c r="B15" i="20"/>
  <c r="B72" i="20"/>
  <c r="B84" i="20"/>
  <c r="B39" i="20"/>
  <c r="B67" i="20"/>
  <c r="B86" i="20"/>
  <c r="B77" i="20"/>
  <c r="B52" i="20"/>
  <c r="B63" i="20"/>
  <c r="B28" i="20"/>
  <c r="B3" i="20"/>
  <c r="B14" i="20"/>
  <c r="B76" i="20"/>
  <c r="B62" i="20"/>
  <c r="B16" i="20"/>
  <c r="B54" i="20"/>
  <c r="B37" i="20"/>
  <c r="B42" i="20"/>
  <c r="B24" i="20"/>
  <c r="B34" i="20"/>
  <c r="B68" i="20"/>
  <c r="B94" i="20"/>
  <c r="B26" i="20"/>
  <c r="B88" i="20"/>
  <c r="B23" i="20"/>
  <c r="B33" i="20"/>
  <c r="B89" i="20"/>
  <c r="B51" i="20"/>
  <c r="B18" i="20"/>
  <c r="B96" i="20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2" i="23"/>
  <c r="B28" i="24"/>
  <c r="E24" i="24" s="1"/>
  <c r="E25" i="24" s="1"/>
  <c r="E15" i="24"/>
  <c r="E16" i="24"/>
  <c r="E13" i="24"/>
  <c r="B19" i="24"/>
  <c r="B18" i="24"/>
  <c r="B24" i="24"/>
  <c r="B23" i="24"/>
  <c r="B6" i="24"/>
  <c r="B7" i="24" s="1"/>
  <c r="E17" i="24" l="1"/>
  <c r="B9" i="24"/>
  <c r="E19" i="24" l="1"/>
  <c r="B17" i="24"/>
  <c r="B20" i="24" s="1"/>
  <c r="B25" i="24" s="1"/>
  <c r="E21" i="24" l="1"/>
  <c r="B29" i="24"/>
  <c r="B30" i="2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4EE31D-1CB4-47D8-9B7D-DD1C79C17B37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067F0E0-E790-4C1C-8D23-05A786B4ABFF}" name="WorksheetConnection_Mid-Term.xlsx!Table1" type="102" refreshedVersion="7" minRefreshableVersion="5">
    <extLst>
      <ext xmlns:x15="http://schemas.microsoft.com/office/spreadsheetml/2010/11/main" uri="{DE250136-89BD-433C-8126-D09CA5730AF9}">
        <x15:connection id="Table1" usedByAddin="1">
          <x15:rangePr sourceName="_xlcn.WorksheetConnection_MidTerm.xlsxTable11"/>
        </x15:connection>
      </ext>
    </extLst>
  </connection>
  <connection id="3" xr16:uid="{DC019F14-28C3-4695-ABF9-F93B9F020626}" name="WorksheetConnection_Mid-Term.xlsx!Table2" type="102" refreshedVersion="7" minRefreshableVersion="5">
    <extLst>
      <ext xmlns:x15="http://schemas.microsoft.com/office/spreadsheetml/2010/11/main" uri="{DE250136-89BD-433C-8126-D09CA5730AF9}">
        <x15:connection id="Table2" usedByAddin="1">
          <x15:rangePr sourceName="_xlcn.WorksheetConnection_MidTerm.xlsxTable21"/>
        </x15:connection>
      </ext>
    </extLst>
  </connection>
</connections>
</file>

<file path=xl/sharedStrings.xml><?xml version="1.0" encoding="utf-8"?>
<sst xmlns="http://schemas.openxmlformats.org/spreadsheetml/2006/main" count="501" uniqueCount="339">
  <si>
    <t>United States</t>
  </si>
  <si>
    <t>Purchase Price (Value)</t>
  </si>
  <si>
    <t>Down Payment</t>
  </si>
  <si>
    <t>Yearly Mortgage Interest Rate</t>
  </si>
  <si>
    <t>Yearly Property Tax</t>
  </si>
  <si>
    <t>Yearly Homeowners Insurance</t>
  </si>
  <si>
    <t>Yearly Maintenance</t>
  </si>
  <si>
    <t>Yearly Improvements</t>
  </si>
  <si>
    <t>Federal Income Tax Rate</t>
  </si>
  <si>
    <t>Monthly Housing Payment</t>
  </si>
  <si>
    <t>Loan Amount</t>
  </si>
  <si>
    <t>Mortgage Payment (PI)</t>
  </si>
  <si>
    <t>Property Tax (T)</t>
  </si>
  <si>
    <t>Insurance (I)</t>
  </si>
  <si>
    <t>Monthly Housing Payment (PITI)</t>
  </si>
  <si>
    <t>Maintenance and Improvements</t>
  </si>
  <si>
    <t>Maintenance</t>
  </si>
  <si>
    <t>Improvements</t>
  </si>
  <si>
    <t>Monthly Home Ownership Expense</t>
  </si>
  <si>
    <t>Estimated Tax Savings</t>
  </si>
  <si>
    <t>Estimated Monthly Tax Savings:</t>
  </si>
  <si>
    <t>Monthly Expenses (after tax benefits)</t>
  </si>
  <si>
    <t>Mortgage Information and Assumptions</t>
  </si>
  <si>
    <t>Affordability Calculator</t>
  </si>
  <si>
    <t>Income</t>
  </si>
  <si>
    <t>Net Yearly Income</t>
  </si>
  <si>
    <t>Monthly Rent/Mortgage budget (60%)</t>
  </si>
  <si>
    <t>Tax Rates</t>
  </si>
  <si>
    <t>Federal Taxes</t>
  </si>
  <si>
    <t>Social Security and Medicare</t>
  </si>
  <si>
    <t xml:space="preserve">Misc deductions </t>
  </si>
  <si>
    <t>Taxes - Federal</t>
  </si>
  <si>
    <t xml:space="preserve">Taxes - State </t>
  </si>
  <si>
    <t>Taxes - Social Security and Medicare</t>
  </si>
  <si>
    <t>Misc deductions</t>
  </si>
  <si>
    <t>Monthly Disposable Income</t>
  </si>
  <si>
    <t>Estimated Tax Savings by switching states (NET)</t>
  </si>
  <si>
    <t>State Income Tax Savings (Net)</t>
  </si>
  <si>
    <t>Total Tax Savings by Switching to Zero Income Tax State</t>
  </si>
  <si>
    <t>Total Yearly Savings</t>
  </si>
  <si>
    <t>Alabama</t>
  </si>
  <si>
    <t>Arizona</t>
  </si>
  <si>
    <t>Arkansas</t>
  </si>
  <si>
    <t>California</t>
  </si>
  <si>
    <t>Connecticut</t>
  </si>
  <si>
    <t>Delaware</t>
  </si>
  <si>
    <t>Georgia</t>
  </si>
  <si>
    <t>Hawaii</t>
  </si>
  <si>
    <t>Idaho</t>
  </si>
  <si>
    <t>Iowa</t>
  </si>
  <si>
    <t>Kansas</t>
  </si>
  <si>
    <t>Louisiana</t>
  </si>
  <si>
    <t>Maine</t>
  </si>
  <si>
    <t>Maryland</t>
  </si>
  <si>
    <t>Minnesota</t>
  </si>
  <si>
    <t>Mississippi</t>
  </si>
  <si>
    <t>Missouri</t>
  </si>
  <si>
    <t>Montana</t>
  </si>
  <si>
    <t>Nebraska</t>
  </si>
  <si>
    <t>New Jersey</t>
  </si>
  <si>
    <t>New Mexico</t>
  </si>
  <si>
    <t>New York</t>
  </si>
  <si>
    <t>North Dakota</t>
  </si>
  <si>
    <t>Ohio</t>
  </si>
  <si>
    <t>Oklahoma</t>
  </si>
  <si>
    <t>Oregon</t>
  </si>
  <si>
    <t>Rhode Island</t>
  </si>
  <si>
    <t>South Carolina</t>
  </si>
  <si>
    <t>Vermont</t>
  </si>
  <si>
    <t>Virginia</t>
  </si>
  <si>
    <t>West Virginia</t>
  </si>
  <si>
    <t>Wisconsin</t>
  </si>
  <si>
    <t>State</t>
  </si>
  <si>
    <t>Tax rates (Lower range)</t>
  </si>
  <si>
    <t>Tax rates (Higher range)</t>
  </si>
  <si>
    <t>RegionID</t>
  </si>
  <si>
    <t>SizeRank</t>
  </si>
  <si>
    <t>RegionName</t>
  </si>
  <si>
    <t>RegionType</t>
  </si>
  <si>
    <t>StateName</t>
  </si>
  <si>
    <t>Country</t>
  </si>
  <si>
    <t>New York, NY</t>
  </si>
  <si>
    <t>Msa</t>
  </si>
  <si>
    <t>NY</t>
  </si>
  <si>
    <t>Los Angeles-Long Beach-Anaheim, CA</t>
  </si>
  <si>
    <t>CA</t>
  </si>
  <si>
    <t>Chicago, IL</t>
  </si>
  <si>
    <t>IL</t>
  </si>
  <si>
    <t>Dallas-Fort Worth, TX</t>
  </si>
  <si>
    <t>TX</t>
  </si>
  <si>
    <t>Philadelphia, PA</t>
  </si>
  <si>
    <t>PA</t>
  </si>
  <si>
    <t>Houston, TX</t>
  </si>
  <si>
    <t>Washington, DC</t>
  </si>
  <si>
    <t>DC</t>
  </si>
  <si>
    <t>Miami-Fort Lauderdale, FL</t>
  </si>
  <si>
    <t>FL</t>
  </si>
  <si>
    <t>Atlanta, GA</t>
  </si>
  <si>
    <t>GA</t>
  </si>
  <si>
    <t>Boston, MA</t>
  </si>
  <si>
    <t>MA</t>
  </si>
  <si>
    <t>San Francisco, CA</t>
  </si>
  <si>
    <t>Detroit, MI</t>
  </si>
  <si>
    <t>MI</t>
  </si>
  <si>
    <t>Riverside, CA</t>
  </si>
  <si>
    <t>Phoenix, AZ</t>
  </si>
  <si>
    <t>AZ</t>
  </si>
  <si>
    <t>Seattle, WA</t>
  </si>
  <si>
    <t>WA</t>
  </si>
  <si>
    <t>Minneapolis-St Paul, MN</t>
  </si>
  <si>
    <t>MN</t>
  </si>
  <si>
    <t>San Diego, CA</t>
  </si>
  <si>
    <t>St. Louis, MO</t>
  </si>
  <si>
    <t>MO</t>
  </si>
  <si>
    <t>Tampa, FL</t>
  </si>
  <si>
    <t>Baltimore, MD</t>
  </si>
  <si>
    <t>MD</t>
  </si>
  <si>
    <t>Denver, CO</t>
  </si>
  <si>
    <t>CO</t>
  </si>
  <si>
    <t>Pittsburgh, PA</t>
  </si>
  <si>
    <t>Portland, OR</t>
  </si>
  <si>
    <t>OR</t>
  </si>
  <si>
    <t>Charlotte, NC</t>
  </si>
  <si>
    <t>NC</t>
  </si>
  <si>
    <t>Sacramento, CA</t>
  </si>
  <si>
    <t>San Antonio, TX</t>
  </si>
  <si>
    <t>Orlando, FL</t>
  </si>
  <si>
    <t>Cincinnati, OH</t>
  </si>
  <si>
    <t>OH</t>
  </si>
  <si>
    <t>Cleveland, OH</t>
  </si>
  <si>
    <t>Kansas City, MO</t>
  </si>
  <si>
    <t>Las Vegas, NV</t>
  </si>
  <si>
    <t>NV</t>
  </si>
  <si>
    <t>Columbus, OH</t>
  </si>
  <si>
    <t>Indianapolis, IN</t>
  </si>
  <si>
    <t>IN</t>
  </si>
  <si>
    <t>San Jose, CA</t>
  </si>
  <si>
    <t>Austin, TX</t>
  </si>
  <si>
    <t>Virginia Beach, VA</t>
  </si>
  <si>
    <t>VA</t>
  </si>
  <si>
    <t>Nashville, TN</t>
  </si>
  <si>
    <t>TN</t>
  </si>
  <si>
    <t>Providence, RI</t>
  </si>
  <si>
    <t>RI</t>
  </si>
  <si>
    <t>Milwaukee, WI</t>
  </si>
  <si>
    <t>WI</t>
  </si>
  <si>
    <t>Jacksonville, FL</t>
  </si>
  <si>
    <t>Memphis, TN</t>
  </si>
  <si>
    <t>Oklahoma City, OK</t>
  </si>
  <si>
    <t>OK</t>
  </si>
  <si>
    <t>Louisville-Jefferson County, KY</t>
  </si>
  <si>
    <t>KY</t>
  </si>
  <si>
    <t>Hartford, CT</t>
  </si>
  <si>
    <t>CT</t>
  </si>
  <si>
    <t>Richmond, VA</t>
  </si>
  <si>
    <t>New Orleans, LA</t>
  </si>
  <si>
    <t>LA</t>
  </si>
  <si>
    <t>Buffalo, NY</t>
  </si>
  <si>
    <t>Raleigh, NC</t>
  </si>
  <si>
    <t>Birmingham, AL</t>
  </si>
  <si>
    <t>AL</t>
  </si>
  <si>
    <t>Salt Lake City, UT</t>
  </si>
  <si>
    <t>UT</t>
  </si>
  <si>
    <t>Rochester, NY</t>
  </si>
  <si>
    <t>Grand Rapids, MI</t>
  </si>
  <si>
    <t>Tucson, AZ</t>
  </si>
  <si>
    <t>Urban Honolulu, HI</t>
  </si>
  <si>
    <t>HI</t>
  </si>
  <si>
    <t>Tulsa, OK</t>
  </si>
  <si>
    <t>Fresno, CA</t>
  </si>
  <si>
    <t>Worcester, MA</t>
  </si>
  <si>
    <t>Stamford, CT</t>
  </si>
  <si>
    <t>Albuquerque, NM</t>
  </si>
  <si>
    <t>NM</t>
  </si>
  <si>
    <t>Albany, NY</t>
  </si>
  <si>
    <t>Omaha, NE</t>
  </si>
  <si>
    <t>NE</t>
  </si>
  <si>
    <t>New Haven, CT</t>
  </si>
  <si>
    <t>Bakersfield, CA</t>
  </si>
  <si>
    <t>Knoxville, TN</t>
  </si>
  <si>
    <t>Greenville, SC</t>
  </si>
  <si>
    <t>SC</t>
  </si>
  <si>
    <t>Ventura, CA</t>
  </si>
  <si>
    <t>Allentown, PA</t>
  </si>
  <si>
    <t>El Paso, TX</t>
  </si>
  <si>
    <t>Baton Rouge, LA</t>
  </si>
  <si>
    <t>Dayton, OH</t>
  </si>
  <si>
    <t>McAllen, TX</t>
  </si>
  <si>
    <t>Columbia, SC</t>
  </si>
  <si>
    <t>Greensboro, NC</t>
  </si>
  <si>
    <t>Akron, OH</t>
  </si>
  <si>
    <t>North Port-Sarasota-Bradenton, FL</t>
  </si>
  <si>
    <t>Little Rock, AR</t>
  </si>
  <si>
    <t>AR</t>
  </si>
  <si>
    <t>Stockton, CA</t>
  </si>
  <si>
    <t>Charleston, SC</t>
  </si>
  <si>
    <t>Syracuse, NY</t>
  </si>
  <si>
    <t>Colorado Springs, CO</t>
  </si>
  <si>
    <t>Winston-Salem, NC</t>
  </si>
  <si>
    <t>Wichita, KS</t>
  </si>
  <si>
    <t>KS</t>
  </si>
  <si>
    <t>Springfield, MA</t>
  </si>
  <si>
    <t>Fort Myers, FL</t>
  </si>
  <si>
    <t>Boise City, ID</t>
  </si>
  <si>
    <t>ID</t>
  </si>
  <si>
    <t>Toledo, OH</t>
  </si>
  <si>
    <t>Madison, WI</t>
  </si>
  <si>
    <t>Lakeland, FL</t>
  </si>
  <si>
    <t>Ogden, UT</t>
  </si>
  <si>
    <t>Daytona Beach, FL</t>
  </si>
  <si>
    <t>Des Moines, IA</t>
  </si>
  <si>
    <t>IA</t>
  </si>
  <si>
    <t>Provo, UT</t>
  </si>
  <si>
    <t>Durham, NC</t>
  </si>
  <si>
    <t>Fort Collins, CO</t>
  </si>
  <si>
    <t>City</t>
  </si>
  <si>
    <t>Alaska</t>
  </si>
  <si>
    <t>Florida</t>
  </si>
  <si>
    <t>Kentucky</t>
  </si>
  <si>
    <t>Nevada</t>
  </si>
  <si>
    <t>New Hampshire</t>
  </si>
  <si>
    <t>Pennsylvania</t>
  </si>
  <si>
    <t>South Dakota</t>
  </si>
  <si>
    <t>Tennessee</t>
  </si>
  <si>
    <t>Texas</t>
  </si>
  <si>
    <t>Washington</t>
  </si>
  <si>
    <t>Wyoming</t>
  </si>
  <si>
    <t>Colorado</t>
  </si>
  <si>
    <t>Illinois</t>
  </si>
  <si>
    <t>Indiana</t>
  </si>
  <si>
    <t>Massachusetts</t>
  </si>
  <si>
    <t>Michigan</t>
  </si>
  <si>
    <t>North Carolina</t>
  </si>
  <si>
    <t>Utah</t>
  </si>
  <si>
    <t>Dist. Of Columbia</t>
  </si>
  <si>
    <t>Monthly Spend On Rent/Mortgage After Taxes</t>
  </si>
  <si>
    <t>State + City</t>
  </si>
  <si>
    <t xml:space="preserve"> NY, New York</t>
  </si>
  <si>
    <t xml:space="preserve"> CA, Los Angeles-Long Beach-Anaheim</t>
  </si>
  <si>
    <t xml:space="preserve"> IL, Chicago</t>
  </si>
  <si>
    <t xml:space="preserve"> TX, Dallas-Fort Worth</t>
  </si>
  <si>
    <t xml:space="preserve"> PA, Philadelphia</t>
  </si>
  <si>
    <t xml:space="preserve"> TX, Houston</t>
  </si>
  <si>
    <t xml:space="preserve"> DC, Washington</t>
  </si>
  <si>
    <t xml:space="preserve"> FL, Miami-Fort Lauderdale</t>
  </si>
  <si>
    <t xml:space="preserve"> GA, Atlanta</t>
  </si>
  <si>
    <t xml:space="preserve"> MA, Boston</t>
  </si>
  <si>
    <t xml:space="preserve"> CA, San Francisco</t>
  </si>
  <si>
    <t xml:space="preserve"> MI, Detroit</t>
  </si>
  <si>
    <t xml:space="preserve"> CA, Riverside</t>
  </si>
  <si>
    <t xml:space="preserve"> AZ, Phoenix</t>
  </si>
  <si>
    <t xml:space="preserve"> WA, Seattle</t>
  </si>
  <si>
    <t xml:space="preserve"> MN, Minneapolis-St Paul</t>
  </si>
  <si>
    <t xml:space="preserve"> CA, San Diego</t>
  </si>
  <si>
    <t xml:space="preserve"> MO, St. Louis</t>
  </si>
  <si>
    <t xml:space="preserve"> FL, Tampa</t>
  </si>
  <si>
    <t xml:space="preserve"> MD, Baltimore</t>
  </si>
  <si>
    <t xml:space="preserve"> CO, Denver</t>
  </si>
  <si>
    <t xml:space="preserve"> PA, Pittsburgh</t>
  </si>
  <si>
    <t xml:space="preserve"> OR, Portland</t>
  </si>
  <si>
    <t xml:space="preserve"> NC, Charlotte</t>
  </si>
  <si>
    <t xml:space="preserve"> CA, Sacramento</t>
  </si>
  <si>
    <t xml:space="preserve"> TX, San Antonio</t>
  </si>
  <si>
    <t xml:space="preserve"> FL, Orlando</t>
  </si>
  <si>
    <t xml:space="preserve"> OH, Cincinnati</t>
  </si>
  <si>
    <t xml:space="preserve"> OH, Cleveland</t>
  </si>
  <si>
    <t xml:space="preserve"> MO, Kansas City</t>
  </si>
  <si>
    <t xml:space="preserve"> NV, Las Vegas</t>
  </si>
  <si>
    <t xml:space="preserve"> OH, Columbus</t>
  </si>
  <si>
    <t xml:space="preserve"> IN, Indianapolis</t>
  </si>
  <si>
    <t xml:space="preserve"> CA, San Jose</t>
  </si>
  <si>
    <t xml:space="preserve"> TX, Austin</t>
  </si>
  <si>
    <t xml:space="preserve"> VA, Virginia Beach</t>
  </si>
  <si>
    <t xml:space="preserve"> TN, Nashville</t>
  </si>
  <si>
    <t xml:space="preserve"> RI, Providence</t>
  </si>
  <si>
    <t xml:space="preserve"> WI, Milwaukee</t>
  </si>
  <si>
    <t xml:space="preserve"> FL, Jacksonville</t>
  </si>
  <si>
    <t xml:space="preserve"> TN, Memphis</t>
  </si>
  <si>
    <t xml:space="preserve"> OK, Oklahoma City</t>
  </si>
  <si>
    <t xml:space="preserve"> KY, Louisville-Jefferson County</t>
  </si>
  <si>
    <t xml:space="preserve"> CT, Hartford</t>
  </si>
  <si>
    <t xml:space="preserve"> VA, Richmond</t>
  </si>
  <si>
    <t xml:space="preserve"> LA, New Orleans</t>
  </si>
  <si>
    <t xml:space="preserve"> NY, Buffalo</t>
  </si>
  <si>
    <t xml:space="preserve"> NC, Raleigh</t>
  </si>
  <si>
    <t xml:space="preserve"> AL, Birmingham</t>
  </si>
  <si>
    <t xml:space="preserve"> UT, Salt Lake City</t>
  </si>
  <si>
    <t xml:space="preserve"> NY, Rochester</t>
  </si>
  <si>
    <t xml:space="preserve"> MI, Grand Rapids</t>
  </si>
  <si>
    <t xml:space="preserve"> AZ, Tucson</t>
  </si>
  <si>
    <t xml:space="preserve"> HI, Urban Honolulu</t>
  </si>
  <si>
    <t xml:space="preserve"> OK, Tulsa</t>
  </si>
  <si>
    <t xml:space="preserve"> CA, Fresno</t>
  </si>
  <si>
    <t xml:space="preserve"> MA, Worcester</t>
  </si>
  <si>
    <t xml:space="preserve"> CT, Stamford</t>
  </si>
  <si>
    <t xml:space="preserve"> NM, Albuquerque</t>
  </si>
  <si>
    <t xml:space="preserve"> NY, Albany</t>
  </si>
  <si>
    <t xml:space="preserve"> NE, Omaha</t>
  </si>
  <si>
    <t xml:space="preserve"> CT, New Haven</t>
  </si>
  <si>
    <t xml:space="preserve"> CA, Bakersfield</t>
  </si>
  <si>
    <t xml:space="preserve"> TN, Knoxville</t>
  </si>
  <si>
    <t xml:space="preserve"> SC, Greenville</t>
  </si>
  <si>
    <t xml:space="preserve"> CA, Ventura</t>
  </si>
  <si>
    <t xml:space="preserve"> PA, Allentown</t>
  </si>
  <si>
    <t xml:space="preserve"> TX, El Paso</t>
  </si>
  <si>
    <t xml:space="preserve"> LA, Baton Rouge</t>
  </si>
  <si>
    <t xml:space="preserve"> OH, Dayton</t>
  </si>
  <si>
    <t xml:space="preserve"> TX, McAllen</t>
  </si>
  <si>
    <t xml:space="preserve"> SC, Columbia</t>
  </si>
  <si>
    <t xml:space="preserve"> NC, Greensboro</t>
  </si>
  <si>
    <t xml:space="preserve"> OH, Akron</t>
  </si>
  <si>
    <t xml:space="preserve"> FL, North Port-Sarasota-Bradenton</t>
  </si>
  <si>
    <t xml:space="preserve"> AR, Little Rock</t>
  </si>
  <si>
    <t xml:space="preserve"> CA, Stockton</t>
  </si>
  <si>
    <t xml:space="preserve"> SC, Charleston</t>
  </si>
  <si>
    <t xml:space="preserve"> NY, Syracuse</t>
  </si>
  <si>
    <t xml:space="preserve"> CO, Colorado Springs</t>
  </si>
  <si>
    <t xml:space="preserve"> NC, Winston-Salem</t>
  </si>
  <si>
    <t xml:space="preserve"> KS, Wichita</t>
  </si>
  <si>
    <t xml:space="preserve"> MA, Springfield</t>
  </si>
  <si>
    <t xml:space="preserve"> FL, Fort Myers</t>
  </si>
  <si>
    <t xml:space="preserve"> ID, Boise City</t>
  </si>
  <si>
    <t xml:space="preserve"> OH, Toledo</t>
  </si>
  <si>
    <t xml:space="preserve"> WI, Madison</t>
  </si>
  <si>
    <t xml:space="preserve"> FL, Lakeland</t>
  </si>
  <si>
    <t xml:space="preserve"> UT, Ogden</t>
  </si>
  <si>
    <t xml:space="preserve"> FL, Daytona Beach</t>
  </si>
  <si>
    <t xml:space="preserve"> IA, Des Moines</t>
  </si>
  <si>
    <t xml:space="preserve"> UT, Provo</t>
  </si>
  <si>
    <t xml:space="preserve"> NC, Durham</t>
  </si>
  <si>
    <t xml:space="preserve"> CO, Fort Collins</t>
  </si>
  <si>
    <t>State Selected?</t>
  </si>
  <si>
    <t>State Income Tax %</t>
  </si>
  <si>
    <t>State Income Taxes</t>
  </si>
  <si>
    <t>State Income Taxes Current State</t>
  </si>
  <si>
    <t>City Selected?</t>
  </si>
  <si>
    <t>Average Home Price (Latest)</t>
  </si>
  <si>
    <t>Home Affordability Model</t>
  </si>
  <si>
    <t>States With Zero State Income Tax: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</si>
</sst>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Helv"/>
    </font>
    <font>
      <b/>
      <sz val="11"/>
      <color rgb="FF000000"/>
      <name val="Calibri"/>
      <family val="2"/>
    </font>
    <font>
      <b/>
      <sz val="24"/>
      <color theme="1"/>
      <name val="Times New Roman"/>
      <family val="1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4">
    <border>
      <left/>
      <right/>
      <top/>
      <bottom/>
      <diagonal/>
    </border>
    <border>
      <left/>
      <right style="thick">
        <color indexed="64"/>
      </right>
      <top style="thick">
        <color indexed="64"/>
      </top>
      <bottom style="medium">
        <color indexed="55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55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54">
    <xf numFmtId="0" fontId="0" fillId="0" borderId="0" xfId="0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164" fontId="0" fillId="2" borderId="0" xfId="1" applyNumberFormat="1" applyFont="1" applyFill="1"/>
    <xf numFmtId="43" fontId="0" fillId="2" borderId="0" xfId="1" applyFont="1" applyFill="1"/>
    <xf numFmtId="0" fontId="3" fillId="4" borderId="1" xfId="0" applyFont="1" applyFill="1" applyBorder="1" applyAlignment="1">
      <alignment horizontal="left"/>
    </xf>
    <xf numFmtId="0" fontId="6" fillId="0" borderId="2" xfId="0" applyFont="1" applyBorder="1"/>
    <xf numFmtId="0" fontId="3" fillId="4" borderId="3" xfId="0" applyFont="1" applyFill="1" applyBorder="1" applyAlignment="1">
      <alignment horizontal="left"/>
    </xf>
    <xf numFmtId="8" fontId="5" fillId="3" borderId="2" xfId="0" applyNumberFormat="1" applyFont="1" applyFill="1" applyBorder="1"/>
    <xf numFmtId="8" fontId="6" fillId="0" borderId="2" xfId="0" applyNumberFormat="1" applyFont="1" applyBorder="1"/>
    <xf numFmtId="8" fontId="5" fillId="3" borderId="4" xfId="0" applyNumberFormat="1" applyFont="1" applyFill="1" applyBorder="1"/>
    <xf numFmtId="8" fontId="5" fillId="5" borderId="2" xfId="0" applyNumberFormat="1" applyFont="1" applyFill="1" applyBorder="1"/>
    <xf numFmtId="0" fontId="0" fillId="2" borderId="5" xfId="0" applyFill="1" applyBorder="1"/>
    <xf numFmtId="0" fontId="0" fillId="2" borderId="2" xfId="0" applyFill="1" applyBorder="1"/>
    <xf numFmtId="165" fontId="4" fillId="5" borderId="2" xfId="2" applyNumberFormat="1" applyFont="1" applyFill="1" applyBorder="1"/>
    <xf numFmtId="10" fontId="4" fillId="5" borderId="2" xfId="3" applyNumberFormat="1" applyFont="1" applyFill="1" applyBorder="1"/>
    <xf numFmtId="166" fontId="4" fillId="5" borderId="2" xfId="3" applyNumberFormat="1" applyFont="1" applyFill="1" applyBorder="1"/>
    <xf numFmtId="10" fontId="0" fillId="2" borderId="0" xfId="1" applyNumberFormat="1" applyFont="1" applyFill="1"/>
    <xf numFmtId="0" fontId="2" fillId="2" borderId="0" xfId="0" applyFont="1" applyFill="1" applyBorder="1"/>
    <xf numFmtId="0" fontId="0" fillId="2" borderId="0" xfId="0" applyFill="1" applyBorder="1"/>
    <xf numFmtId="0" fontId="3" fillId="4" borderId="6" xfId="0" applyFont="1" applyFill="1" applyBorder="1" applyAlignment="1">
      <alignment horizontal="left" indent="1"/>
    </xf>
    <xf numFmtId="0" fontId="0" fillId="2" borderId="9" xfId="0" applyFill="1" applyBorder="1"/>
    <xf numFmtId="43" fontId="4" fillId="5" borderId="2" xfId="1" applyFont="1" applyFill="1" applyBorder="1"/>
    <xf numFmtId="43" fontId="3" fillId="4" borderId="7" xfId="0" applyNumberFormat="1" applyFont="1" applyFill="1" applyBorder="1" applyAlignment="1">
      <alignment horizontal="left"/>
    </xf>
    <xf numFmtId="0" fontId="3" fillId="4" borderId="10" xfId="0" applyFont="1" applyFill="1" applyBorder="1" applyAlignment="1">
      <alignment horizontal="left" indent="1"/>
    </xf>
    <xf numFmtId="43" fontId="3" fillId="4" borderId="11" xfId="0" applyNumberFormat="1" applyFont="1" applyFill="1" applyBorder="1" applyAlignment="1">
      <alignment horizontal="left"/>
    </xf>
    <xf numFmtId="165" fontId="5" fillId="5" borderId="2" xfId="0" applyNumberFormat="1" applyFont="1" applyFill="1" applyBorder="1"/>
    <xf numFmtId="0" fontId="3" fillId="4" borderId="12" xfId="0" applyFont="1" applyFill="1" applyBorder="1" applyAlignment="1">
      <alignment horizontal="left" indent="1"/>
    </xf>
    <xf numFmtId="0" fontId="2" fillId="2" borderId="13" xfId="0" applyFont="1" applyFill="1" applyBorder="1"/>
    <xf numFmtId="0" fontId="0" fillId="2" borderId="13" xfId="0" applyFill="1" applyBorder="1"/>
    <xf numFmtId="0" fontId="3" fillId="4" borderId="13" xfId="0" applyFont="1" applyFill="1" applyBorder="1" applyAlignment="1">
      <alignment horizontal="left" indent="1"/>
    </xf>
    <xf numFmtId="0" fontId="2" fillId="2" borderId="14" xfId="0" applyFont="1" applyFill="1" applyBorder="1"/>
    <xf numFmtId="9" fontId="4" fillId="5" borderId="2" xfId="1" applyNumberFormat="1" applyFont="1" applyFill="1" applyBorder="1"/>
    <xf numFmtId="0" fontId="0" fillId="2" borderId="16" xfId="0" applyFill="1" applyBorder="1"/>
    <xf numFmtId="0" fontId="0" fillId="2" borderId="19" xfId="0" applyFill="1" applyBorder="1"/>
    <xf numFmtId="164" fontId="2" fillId="2" borderId="0" xfId="1" applyNumberFormat="1" applyFont="1" applyFill="1"/>
    <xf numFmtId="0" fontId="3" fillId="4" borderId="18" xfId="0" applyFont="1" applyFill="1" applyBorder="1" applyAlignment="1"/>
    <xf numFmtId="0" fontId="3" fillId="4" borderId="20" xfId="0" applyFont="1" applyFill="1" applyBorder="1" applyAlignment="1"/>
    <xf numFmtId="0" fontId="4" fillId="6" borderId="21" xfId="0" applyFont="1" applyFill="1" applyBorder="1" applyAlignment="1"/>
    <xf numFmtId="0" fontId="3" fillId="4" borderId="23" xfId="0" applyFont="1" applyFill="1" applyBorder="1" applyAlignment="1">
      <alignment horizontal="left" indent="1"/>
    </xf>
    <xf numFmtId="0" fontId="3" fillId="4" borderId="22" xfId="0" applyFont="1" applyFill="1" applyBorder="1" applyAlignment="1">
      <alignment horizontal="left" indent="1"/>
    </xf>
    <xf numFmtId="49" fontId="2" fillId="2" borderId="0" xfId="1" applyNumberFormat="1" applyFont="1" applyFill="1"/>
    <xf numFmtId="49" fontId="0" fillId="2" borderId="0" xfId="1" applyNumberFormat="1" applyFont="1" applyFill="1"/>
    <xf numFmtId="10" fontId="4" fillId="6" borderId="7" xfId="0" applyNumberFormat="1" applyFont="1" applyFill="1" applyBorder="1" applyAlignment="1">
      <alignment horizontal="center"/>
    </xf>
    <xf numFmtId="43" fontId="4" fillId="6" borderId="7" xfId="1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9" fillId="7" borderId="0" xfId="0" applyFont="1" applyFill="1" applyAlignment="1">
      <alignment horizontal="center"/>
    </xf>
    <xf numFmtId="0" fontId="2" fillId="2" borderId="0" xfId="0" applyFont="1" applyFill="1"/>
    <xf numFmtId="0" fontId="10" fillId="2" borderId="0" xfId="0" applyFont="1" applyFill="1"/>
  </cellXfs>
  <cellStyles count="5">
    <cellStyle name="Comma" xfId="1" builtinId="3"/>
    <cellStyle name="Currency" xfId="2" builtinId="4"/>
    <cellStyle name="Normal" xfId="0" builtinId="0"/>
    <cellStyle name="Normal 2" xfId="4" xr:uid="{B22E9BF0-342C-4B3E-B2B7-4AFB05D9F34F}"/>
    <cellStyle name="Percent" xfId="3" builtinId="5"/>
  </cellStyles>
  <dxfs count="0"/>
  <tableStyles count="1" defaultTableStyle="TableStyleMedium2" defaultPivotStyle="PivotStyleLight16">
    <tableStyle name="Invisible" pivot="0" table="0" count="0" xr9:uid="{ACBFD25C-BFAB-46F8-8AF6-C462C041AF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microsoft.com/office/2006/relationships/vbaProject" Target="vbaProject.bin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180975</xdr:rowOff>
        </xdr:from>
        <xdr:to>
          <xdr:col>10</xdr:col>
          <xdr:colOff>228600</xdr:colOff>
          <xdr:row>4</xdr:row>
          <xdr:rowOff>200025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State Tax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7</xdr:row>
          <xdr:rowOff>19050</xdr:rowOff>
        </xdr:from>
        <xdr:to>
          <xdr:col>10</xdr:col>
          <xdr:colOff>295275</xdr:colOff>
          <xdr:row>8</xdr:row>
          <xdr:rowOff>200025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10</xdr:row>
          <xdr:rowOff>9525</xdr:rowOff>
        </xdr:from>
        <xdr:to>
          <xdr:col>8</xdr:col>
          <xdr:colOff>66675</xdr:colOff>
          <xdr:row>11</xdr:row>
          <xdr:rowOff>104775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0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States with Zero Income Tax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501BD-9838-4174-B9FA-1F412EF2C658}">
  <sheetPr codeName="Sheet1"/>
  <dimension ref="A1:AF31"/>
  <sheetViews>
    <sheetView tabSelected="1" workbookViewId="0">
      <selection activeCell="H18" sqref="H18"/>
    </sheetView>
  </sheetViews>
  <sheetFormatPr defaultRowHeight="15" x14ac:dyDescent="0.25"/>
  <cols>
    <col min="1" max="1" width="42.5703125" style="2" bestFit="1" customWidth="1"/>
    <col min="2" max="2" width="27.28515625" style="2" customWidth="1"/>
    <col min="3" max="3" width="4.42578125" style="2" customWidth="1"/>
    <col min="4" max="4" width="45" style="2" customWidth="1"/>
    <col min="5" max="5" width="12.42578125" style="2" customWidth="1"/>
    <col min="6" max="6" width="5.28515625" style="2" customWidth="1"/>
    <col min="7" max="7" width="33" style="2" customWidth="1"/>
    <col min="8" max="8" width="30.42578125" style="2" customWidth="1"/>
    <col min="9" max="9" width="9.5703125" style="2" customWidth="1"/>
    <col min="10" max="10" width="13.28515625" style="2" customWidth="1"/>
    <col min="11" max="15" width="9.5703125" style="2" customWidth="1"/>
    <col min="16" max="25" width="9.140625" style="2"/>
    <col min="26" max="26" width="10.7109375" style="3" bestFit="1" customWidth="1"/>
    <col min="27" max="27" width="11.5703125" style="5" bestFit="1" customWidth="1"/>
    <col min="28" max="30" width="9.140625" style="2"/>
    <col min="31" max="31" width="10.7109375" style="3" bestFit="1" customWidth="1"/>
    <col min="32" max="32" width="11.5703125" style="5" bestFit="1" customWidth="1"/>
    <col min="33" max="16384" width="9.140625" style="2"/>
  </cols>
  <sheetData>
    <row r="1" spans="1:11" x14ac:dyDescent="0.25">
      <c r="A1" s="51" t="s">
        <v>337</v>
      </c>
      <c r="B1" s="51"/>
      <c r="C1" s="51"/>
      <c r="D1" s="51"/>
      <c r="E1" s="51"/>
      <c r="F1" s="51"/>
      <c r="G1" s="51"/>
      <c r="H1" s="51"/>
      <c r="I1" s="51"/>
      <c r="J1" s="51"/>
      <c r="K1" s="51"/>
    </row>
    <row r="2" spans="1:11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</row>
    <row r="3" spans="1:11" ht="15.75" thickBot="1" x14ac:dyDescent="0.3"/>
    <row r="4" spans="1:11" ht="17.25" thickTop="1" thickBot="1" x14ac:dyDescent="0.3">
      <c r="A4" s="28" t="s">
        <v>22</v>
      </c>
      <c r="B4" s="6"/>
      <c r="C4" s="13"/>
      <c r="D4" s="46" t="s">
        <v>27</v>
      </c>
      <c r="E4" s="47"/>
      <c r="G4" s="38" t="s">
        <v>72</v>
      </c>
      <c r="H4" s="37" t="s">
        <v>224</v>
      </c>
    </row>
    <row r="5" spans="1:11" ht="16.5" thickBot="1" x14ac:dyDescent="0.3">
      <c r="A5" s="29" t="s">
        <v>1</v>
      </c>
      <c r="B5" s="15">
        <v>519667</v>
      </c>
      <c r="C5" s="13"/>
      <c r="D5" s="19" t="s">
        <v>28</v>
      </c>
      <c r="E5" s="33">
        <v>0.25</v>
      </c>
      <c r="G5" s="39" t="s">
        <v>332</v>
      </c>
      <c r="H5" s="44">
        <v>0</v>
      </c>
    </row>
    <row r="6" spans="1:11" ht="15.75" x14ac:dyDescent="0.25">
      <c r="A6" s="29" t="s">
        <v>2</v>
      </c>
      <c r="B6" s="15">
        <f>B5*0.2</f>
        <v>103933.40000000001</v>
      </c>
      <c r="C6" s="13"/>
      <c r="D6" s="19" t="s">
        <v>333</v>
      </c>
      <c r="E6" s="33">
        <v>0</v>
      </c>
    </row>
    <row r="7" spans="1:11" ht="16.5" thickBot="1" x14ac:dyDescent="0.3">
      <c r="A7" s="29" t="s">
        <v>10</v>
      </c>
      <c r="B7" s="27">
        <f>B5-B6</f>
        <v>415733.6</v>
      </c>
      <c r="C7" s="13"/>
      <c r="D7" s="19" t="s">
        <v>334</v>
      </c>
      <c r="E7" s="33">
        <v>8.8200000000000001E-2</v>
      </c>
    </row>
    <row r="8" spans="1:11" ht="16.5" thickTop="1" x14ac:dyDescent="0.25">
      <c r="A8" s="29" t="s">
        <v>3</v>
      </c>
      <c r="B8" s="16">
        <v>3.5000000000000003E-2</v>
      </c>
      <c r="C8" s="13"/>
      <c r="D8" s="19" t="s">
        <v>29</v>
      </c>
      <c r="E8" s="33">
        <v>7.0000000000000007E-2</v>
      </c>
      <c r="G8" s="38" t="s">
        <v>215</v>
      </c>
      <c r="H8" s="37" t="s">
        <v>271</v>
      </c>
    </row>
    <row r="9" spans="1:11" ht="16.5" thickBot="1" x14ac:dyDescent="0.3">
      <c r="A9" s="29" t="s">
        <v>11</v>
      </c>
      <c r="B9" s="12">
        <f>-PMT(B8/12,30*12,B7)</f>
        <v>1866.8296462363869</v>
      </c>
      <c r="C9" s="13"/>
      <c r="D9" s="19" t="s">
        <v>30</v>
      </c>
      <c r="E9" s="33">
        <v>7.0000000000000007E-2</v>
      </c>
      <c r="G9" s="39" t="s">
        <v>336</v>
      </c>
      <c r="H9" s="45">
        <v>519667</v>
      </c>
    </row>
    <row r="10" spans="1:11" ht="16.5" thickBot="1" x14ac:dyDescent="0.3">
      <c r="A10" s="29" t="s">
        <v>4</v>
      </c>
      <c r="B10" s="16">
        <v>0.01</v>
      </c>
      <c r="C10" s="13"/>
      <c r="D10" s="19" t="s">
        <v>235</v>
      </c>
      <c r="E10" s="33">
        <v>0.6</v>
      </c>
    </row>
    <row r="11" spans="1:11" ht="17.25" thickTop="1" thickBot="1" x14ac:dyDescent="0.3">
      <c r="A11" s="29" t="s">
        <v>5</v>
      </c>
      <c r="B11" s="16">
        <v>2.5000000000000001E-3</v>
      </c>
      <c r="C11" s="13"/>
      <c r="D11" s="46" t="s">
        <v>23</v>
      </c>
      <c r="E11" s="47"/>
      <c r="G11" s="50"/>
      <c r="H11" s="50"/>
    </row>
    <row r="12" spans="1:11" ht="15.75" x14ac:dyDescent="0.25">
      <c r="A12" s="29" t="s">
        <v>6</v>
      </c>
      <c r="B12" s="15">
        <v>700</v>
      </c>
      <c r="C12" s="13"/>
      <c r="D12" s="19" t="s">
        <v>24</v>
      </c>
      <c r="E12" s="23">
        <v>75000</v>
      </c>
    </row>
    <row r="13" spans="1:11" ht="15.75" x14ac:dyDescent="0.25">
      <c r="A13" s="29" t="s">
        <v>7</v>
      </c>
      <c r="B13" s="15">
        <v>1300</v>
      </c>
      <c r="C13" s="13"/>
      <c r="D13" s="19" t="s">
        <v>31</v>
      </c>
      <c r="E13" s="23">
        <f>-E5*$E$12</f>
        <v>-18750</v>
      </c>
      <c r="G13" s="52" t="s">
        <v>338</v>
      </c>
    </row>
    <row r="14" spans="1:11" ht="15.75" x14ac:dyDescent="0.25">
      <c r="A14" s="29" t="s">
        <v>8</v>
      </c>
      <c r="B14" s="17">
        <v>0.25</v>
      </c>
      <c r="C14" s="13"/>
      <c r="D14" s="19" t="s">
        <v>32</v>
      </c>
      <c r="E14" s="23">
        <f>-E6*$E$12</f>
        <v>0</v>
      </c>
      <c r="G14" s="53" t="s">
        <v>216</v>
      </c>
    </row>
    <row r="15" spans="1:11" ht="15.75" x14ac:dyDescent="0.25">
      <c r="A15" s="30"/>
      <c r="B15" s="14"/>
      <c r="C15" s="13"/>
      <c r="D15" s="19" t="s">
        <v>33</v>
      </c>
      <c r="E15" s="23">
        <f>-E8*$E$12</f>
        <v>-5250.0000000000009</v>
      </c>
      <c r="G15" s="53" t="s">
        <v>217</v>
      </c>
    </row>
    <row r="16" spans="1:11" ht="16.5" thickBot="1" x14ac:dyDescent="0.3">
      <c r="A16" s="31" t="s">
        <v>9</v>
      </c>
      <c r="B16" s="8"/>
      <c r="C16" s="13"/>
      <c r="D16" s="19" t="s">
        <v>34</v>
      </c>
      <c r="E16" s="23">
        <f>-E9*$E$12</f>
        <v>-5250.0000000000009</v>
      </c>
      <c r="G16" s="53" t="s">
        <v>219</v>
      </c>
    </row>
    <row r="17" spans="1:7" ht="16.5" thickBot="1" x14ac:dyDescent="0.3">
      <c r="A17" s="29" t="s">
        <v>11</v>
      </c>
      <c r="B17" s="12">
        <f>B9</f>
        <v>1866.8296462363869</v>
      </c>
      <c r="D17" s="21" t="s">
        <v>25</v>
      </c>
      <c r="E17" s="24">
        <f>SUM(E12:E16)</f>
        <v>45750</v>
      </c>
      <c r="G17" s="53" t="s">
        <v>220</v>
      </c>
    </row>
    <row r="18" spans="1:7" ht="16.5" thickBot="1" x14ac:dyDescent="0.3">
      <c r="A18" s="29" t="s">
        <v>12</v>
      </c>
      <c r="B18" s="12">
        <f>(B10*B5)/12</f>
        <v>433.05583333333334</v>
      </c>
      <c r="G18" s="53" t="s">
        <v>222</v>
      </c>
    </row>
    <row r="19" spans="1:7" ht="16.5" thickBot="1" x14ac:dyDescent="0.3">
      <c r="A19" s="29" t="s">
        <v>13</v>
      </c>
      <c r="B19" s="12">
        <f>(B11*B5)/12</f>
        <v>108.26395833333333</v>
      </c>
      <c r="D19" s="25" t="s">
        <v>35</v>
      </c>
      <c r="E19" s="26">
        <f>E17/12</f>
        <v>3812.5</v>
      </c>
      <c r="G19" s="53" t="s">
        <v>223</v>
      </c>
    </row>
    <row r="20" spans="1:7" ht="16.5" thickBot="1" x14ac:dyDescent="0.3">
      <c r="A20" s="29" t="s">
        <v>14</v>
      </c>
      <c r="B20" s="9">
        <f>SUM(B17:B19)</f>
        <v>2408.1494379030537</v>
      </c>
      <c r="G20" s="53" t="s">
        <v>224</v>
      </c>
    </row>
    <row r="21" spans="1:7" ht="16.5" thickBot="1" x14ac:dyDescent="0.3">
      <c r="A21" s="30"/>
      <c r="B21" s="10"/>
      <c r="D21" s="25" t="s">
        <v>26</v>
      </c>
      <c r="E21" s="26">
        <f>E19*E10</f>
        <v>2287.5</v>
      </c>
      <c r="G21" s="53" t="s">
        <v>225</v>
      </c>
    </row>
    <row r="22" spans="1:7" ht="16.5" thickBot="1" x14ac:dyDescent="0.3">
      <c r="A22" s="31" t="s">
        <v>15</v>
      </c>
      <c r="B22" s="8"/>
      <c r="C22" s="13"/>
      <c r="D22" s="34"/>
      <c r="E22" s="34"/>
      <c r="G22" s="53" t="s">
        <v>226</v>
      </c>
    </row>
    <row r="23" spans="1:7" ht="16.5" thickTop="1" x14ac:dyDescent="0.25">
      <c r="A23" s="29" t="s">
        <v>16</v>
      </c>
      <c r="B23" s="12">
        <f>B12/12</f>
        <v>58.333333333333336</v>
      </c>
      <c r="C23" s="13"/>
      <c r="D23" s="48" t="s">
        <v>38</v>
      </c>
      <c r="E23" s="49"/>
      <c r="G23" s="53"/>
    </row>
    <row r="24" spans="1:7" ht="16.5" thickBot="1" x14ac:dyDescent="0.3">
      <c r="A24" s="29" t="s">
        <v>17</v>
      </c>
      <c r="B24" s="12">
        <f>B13/12</f>
        <v>108.33333333333333</v>
      </c>
      <c r="C24" s="13"/>
      <c r="D24" s="19" t="s">
        <v>37</v>
      </c>
      <c r="E24" s="12">
        <f>B28*12</f>
        <v>4498.2000000000007</v>
      </c>
      <c r="G24" s="53"/>
    </row>
    <row r="25" spans="1:7" ht="16.5" thickBot="1" x14ac:dyDescent="0.3">
      <c r="A25" s="29" t="s">
        <v>18</v>
      </c>
      <c r="B25" s="9">
        <f>B20+SUM(B23:B24)</f>
        <v>2574.8161045697202</v>
      </c>
      <c r="C25" s="13"/>
      <c r="D25" s="41" t="s">
        <v>39</v>
      </c>
      <c r="E25" s="40">
        <f>E24</f>
        <v>4498.2000000000007</v>
      </c>
      <c r="G25" s="53"/>
    </row>
    <row r="26" spans="1:7" ht="15.75" x14ac:dyDescent="0.25">
      <c r="A26" s="30"/>
      <c r="B26" s="7"/>
      <c r="C26" s="22"/>
      <c r="D26" s="35"/>
      <c r="G26" s="53"/>
    </row>
    <row r="27" spans="1:7" ht="16.5" thickBot="1" x14ac:dyDescent="0.3">
      <c r="A27" s="31" t="s">
        <v>19</v>
      </c>
      <c r="B27" s="8"/>
      <c r="C27" s="22"/>
      <c r="D27" s="20"/>
      <c r="G27" s="53"/>
    </row>
    <row r="28" spans="1:7" ht="15.75" x14ac:dyDescent="0.25">
      <c r="A28" s="29" t="s">
        <v>36</v>
      </c>
      <c r="B28" s="12">
        <f>(IF(E6=0,(E7-E6)*E12,0)/12)*0.68</f>
        <v>374.85</v>
      </c>
      <c r="D28" s="20"/>
    </row>
    <row r="29" spans="1:7" ht="15.75" x14ac:dyDescent="0.25">
      <c r="A29" s="29" t="s">
        <v>20</v>
      </c>
      <c r="B29" s="15">
        <f>B14*((B17*0.5)+B18)</f>
        <v>341.6176641128817</v>
      </c>
    </row>
    <row r="30" spans="1:7" ht="16.5" thickBot="1" x14ac:dyDescent="0.3">
      <c r="A30" s="32" t="s">
        <v>21</v>
      </c>
      <c r="B30" s="11">
        <f>B20-B29-B28</f>
        <v>1691.681773790172</v>
      </c>
    </row>
    <row r="31" spans="1:7" ht="15.75" thickTop="1" x14ac:dyDescent="0.25"/>
  </sheetData>
  <scenarios current="0">
    <scenario name="Payment Affordability" count="1" user="Christopher Ghansam" comment="Created by Christopher Ghansam on 12/5/2021">
      <inputCells r="B5" val="544698.014786744" numFmtId="165"/>
    </scenario>
  </scenarios>
  <mergeCells count="5">
    <mergeCell ref="D11:E11"/>
    <mergeCell ref="D4:E4"/>
    <mergeCell ref="D23:E23"/>
    <mergeCell ref="A1:K2"/>
    <mergeCell ref="G11:H1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9" r:id="rId4" name="Button 7">
              <controlPr defaultSize="0" print="0" autoFill="0" autoPict="0" macro="[0]!State_Tax_Rate">
                <anchor moveWithCells="1" sizeWithCells="1">
                  <from>
                    <xdr:col>8</xdr:col>
                    <xdr:colOff>19050</xdr:colOff>
                    <xdr:row>2</xdr:row>
                    <xdr:rowOff>180975</xdr:rowOff>
                  </from>
                  <to>
                    <xdr:col>10</xdr:col>
                    <xdr:colOff>228600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5" name="Button 12">
              <controlPr defaultSize="0" print="0" autoFill="0" autoPict="0" macro="[0]!Home_Price">
                <anchor moveWithCells="1" sizeWithCells="1">
                  <from>
                    <xdr:col>8</xdr:col>
                    <xdr:colOff>28575</xdr:colOff>
                    <xdr:row>7</xdr:row>
                    <xdr:rowOff>19050</xdr:rowOff>
                  </from>
                  <to>
                    <xdr:col>10</xdr:col>
                    <xdr:colOff>295275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6" name="Button 18">
              <controlPr defaultSize="0" print="0" autoFill="0" autoPict="0" macro="[0]!Zero_Income_Tax">
                <anchor moveWithCells="1" sizeWithCells="1">
                  <from>
                    <xdr:col>5</xdr:col>
                    <xdr:colOff>333375</xdr:colOff>
                    <xdr:row>10</xdr:row>
                    <xdr:rowOff>9525</xdr:rowOff>
                  </from>
                  <to>
                    <xdr:col>8</xdr:col>
                    <xdr:colOff>66675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state from the list" xr:uid="{EB302B20-94C3-4CF1-865A-5F9CA33A4894}">
          <x14:formula1>
            <xm:f>'Income Tax Rates'!$A$2:$A$52</xm:f>
          </x14:formula1>
          <xm:sqref>H4</xm:sqref>
        </x14:dataValidation>
        <x14:dataValidation type="list" allowBlank="1" showInputMessage="1" showErrorMessage="1" promptTitle="Select" prompt="Please select a city from the list" xr:uid="{FBCAED75-6BB0-433B-99F0-830E4A121523}">
          <x14:formula1>
            <xm:f>'List and Sale Prices'!$E$3:$E$96</xm:f>
          </x14:formula1>
          <xm:sqref>H8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472B1-B6D4-4EF6-9328-0B4812D6224C}">
  <sheetPr codeName="Sheet2"/>
  <dimension ref="A1:AG52"/>
  <sheetViews>
    <sheetView workbookViewId="0">
      <selection activeCell="F12" sqref="F12"/>
    </sheetView>
  </sheetViews>
  <sheetFormatPr defaultRowHeight="15" x14ac:dyDescent="0.25"/>
  <cols>
    <col min="1" max="1" width="20.140625" style="43" bestFit="1" customWidth="1"/>
    <col min="2" max="2" width="23.42578125" style="4" bestFit="1" customWidth="1"/>
    <col min="3" max="3" width="23.85546875" style="4" bestFit="1" customWidth="1"/>
    <col min="4" max="6" width="10.140625" style="4" customWidth="1"/>
    <col min="7" max="33" width="9.140625" style="2"/>
  </cols>
  <sheetData>
    <row r="1" spans="1:6" x14ac:dyDescent="0.25">
      <c r="A1" s="42" t="s">
        <v>72</v>
      </c>
      <c r="B1" s="36" t="s">
        <v>73</v>
      </c>
      <c r="C1" s="36" t="s">
        <v>74</v>
      </c>
      <c r="D1" s="36" t="s">
        <v>331</v>
      </c>
      <c r="F1" s="43"/>
    </row>
    <row r="2" spans="1:6" x14ac:dyDescent="0.25">
      <c r="A2" s="43" t="s">
        <v>40</v>
      </c>
      <c r="B2" s="18">
        <v>0.02</v>
      </c>
      <c r="C2" s="18">
        <v>0.05</v>
      </c>
      <c r="D2" s="4" t="str">
        <f>IF(A2='Mortgage Calculator'!$H$4,"True","False")</f>
        <v>False</v>
      </c>
    </row>
    <row r="3" spans="1:6" x14ac:dyDescent="0.25">
      <c r="A3" s="43" t="s">
        <v>216</v>
      </c>
      <c r="B3" s="18">
        <v>0</v>
      </c>
      <c r="C3" s="18">
        <v>0</v>
      </c>
      <c r="D3" s="4" t="str">
        <f>IF(A3='Mortgage Calculator'!$H$4,"True","False")</f>
        <v>False</v>
      </c>
    </row>
    <row r="4" spans="1:6" x14ac:dyDescent="0.25">
      <c r="A4" s="43" t="s">
        <v>41</v>
      </c>
      <c r="B4" s="18">
        <v>2.5899999999999999E-2</v>
      </c>
      <c r="C4" s="18">
        <v>0.08</v>
      </c>
      <c r="D4" s="4" t="str">
        <f>IF(A4='Mortgage Calculator'!$H$4,"True","False")</f>
        <v>False</v>
      </c>
    </row>
    <row r="5" spans="1:6" x14ac:dyDescent="0.25">
      <c r="A5" s="43" t="s">
        <v>42</v>
      </c>
      <c r="B5" s="18">
        <v>0.02</v>
      </c>
      <c r="C5" s="18">
        <v>5.9000000000000004E-2</v>
      </c>
      <c r="D5" s="4" t="str">
        <f>IF(A5='Mortgage Calculator'!$H$4,"True","False")</f>
        <v>False</v>
      </c>
    </row>
    <row r="6" spans="1:6" x14ac:dyDescent="0.25">
      <c r="A6" s="43" t="s">
        <v>43</v>
      </c>
      <c r="B6" s="18">
        <v>0.01</v>
      </c>
      <c r="C6" s="18">
        <v>0.12300000000000001</v>
      </c>
      <c r="D6" s="4" t="str">
        <f>IF(A6='Mortgage Calculator'!$H$4,"True","False")</f>
        <v>False</v>
      </c>
    </row>
    <row r="7" spans="1:6" x14ac:dyDescent="0.25">
      <c r="A7" s="43" t="s">
        <v>227</v>
      </c>
      <c r="B7" s="18">
        <v>4.5499999999999999E-2</v>
      </c>
      <c r="C7" s="18">
        <v>4.5499999999999999E-2</v>
      </c>
      <c r="D7" s="4" t="str">
        <f>IF(A7='Mortgage Calculator'!$H$4,"True","False")</f>
        <v>False</v>
      </c>
    </row>
    <row r="8" spans="1:6" x14ac:dyDescent="0.25">
      <c r="A8" s="43" t="s">
        <v>44</v>
      </c>
      <c r="B8" s="18">
        <v>0.03</v>
      </c>
      <c r="C8" s="18">
        <v>6.9900000000000004E-2</v>
      </c>
      <c r="D8" s="4" t="str">
        <f>IF(A8='Mortgage Calculator'!$H$4,"True","False")</f>
        <v>False</v>
      </c>
    </row>
    <row r="9" spans="1:6" x14ac:dyDescent="0.25">
      <c r="A9" s="43" t="s">
        <v>45</v>
      </c>
      <c r="B9" s="18">
        <v>0</v>
      </c>
      <c r="C9" s="18">
        <v>6.6000000000000003E-2</v>
      </c>
      <c r="D9" s="4" t="str">
        <f>IF(A9='Mortgage Calculator'!$H$4,"True","False")</f>
        <v>False</v>
      </c>
    </row>
    <row r="10" spans="1:6" x14ac:dyDescent="0.25">
      <c r="A10" s="43" t="s">
        <v>217</v>
      </c>
      <c r="B10" s="18">
        <v>0</v>
      </c>
      <c r="C10" s="18">
        <v>0</v>
      </c>
      <c r="D10" s="4" t="str">
        <f>IF(A10='Mortgage Calculator'!$H$4,"True","False")</f>
        <v>False</v>
      </c>
    </row>
    <row r="11" spans="1:6" x14ac:dyDescent="0.25">
      <c r="A11" s="43" t="s">
        <v>46</v>
      </c>
      <c r="B11" s="18">
        <v>0.01</v>
      </c>
      <c r="C11" s="18">
        <v>5.7500000000000002E-2</v>
      </c>
      <c r="D11" s="4" t="str">
        <f>IF(A11='Mortgage Calculator'!$H$4,"True","False")</f>
        <v>False</v>
      </c>
    </row>
    <row r="12" spans="1:6" x14ac:dyDescent="0.25">
      <c r="A12" s="43" t="s">
        <v>47</v>
      </c>
      <c r="B12" s="18">
        <v>1.3999999999999999E-2</v>
      </c>
      <c r="C12" s="18">
        <v>0.11</v>
      </c>
      <c r="D12" s="4" t="str">
        <f>IF(A12='Mortgage Calculator'!$H$4,"True","False")</f>
        <v>False</v>
      </c>
    </row>
    <row r="13" spans="1:6" x14ac:dyDescent="0.25">
      <c r="A13" s="43" t="s">
        <v>48</v>
      </c>
      <c r="B13" s="18">
        <v>1.125E-2</v>
      </c>
      <c r="C13" s="18">
        <v>6.9249999999999992E-2</v>
      </c>
      <c r="D13" s="4" t="str">
        <f>IF(A13='Mortgage Calculator'!$H$4,"True","False")</f>
        <v>False</v>
      </c>
    </row>
    <row r="14" spans="1:6" x14ac:dyDescent="0.25">
      <c r="A14" s="43" t="s">
        <v>228</v>
      </c>
      <c r="B14" s="18">
        <v>4.9500000000000002E-2</v>
      </c>
      <c r="C14" s="18">
        <v>4.9500000000000002E-2</v>
      </c>
      <c r="D14" s="4" t="str">
        <f>IF(A14='Mortgage Calculator'!$H$4,"True","False")</f>
        <v>False</v>
      </c>
    </row>
    <row r="15" spans="1:6" x14ac:dyDescent="0.25">
      <c r="A15" s="43" t="s">
        <v>229</v>
      </c>
      <c r="B15" s="18">
        <v>3.2300000000000002E-2</v>
      </c>
      <c r="C15" s="18">
        <v>3.2300000000000002E-2</v>
      </c>
      <c r="D15" s="4" t="str">
        <f>IF(A15='Mortgage Calculator'!$H$4,"True","False")</f>
        <v>False</v>
      </c>
    </row>
    <row r="16" spans="1:6" x14ac:dyDescent="0.25">
      <c r="A16" s="43" t="s">
        <v>49</v>
      </c>
      <c r="B16" s="18">
        <v>3.3E-3</v>
      </c>
      <c r="C16" s="18">
        <v>8.5299999999999987E-2</v>
      </c>
      <c r="D16" s="4" t="str">
        <f>IF(A16='Mortgage Calculator'!$H$4,"True","False")</f>
        <v>False</v>
      </c>
    </row>
    <row r="17" spans="1:4" x14ac:dyDescent="0.25">
      <c r="A17" s="43" t="s">
        <v>50</v>
      </c>
      <c r="B17" s="18">
        <v>3.1E-2</v>
      </c>
      <c r="C17" s="18">
        <v>5.7000000000000002E-2</v>
      </c>
      <c r="D17" s="4" t="str">
        <f>IF(A17='Mortgage Calculator'!$H$4,"True","False")</f>
        <v>False</v>
      </c>
    </row>
    <row r="18" spans="1:4" x14ac:dyDescent="0.25">
      <c r="A18" s="43" t="s">
        <v>218</v>
      </c>
      <c r="B18" s="18">
        <v>0.05</v>
      </c>
      <c r="C18" s="18">
        <v>0.05</v>
      </c>
      <c r="D18" s="4" t="str">
        <f>IF(A18='Mortgage Calculator'!$H$4,"True","False")</f>
        <v>False</v>
      </c>
    </row>
    <row r="19" spans="1:4" x14ac:dyDescent="0.25">
      <c r="A19" s="43" t="s">
        <v>51</v>
      </c>
      <c r="B19" s="18">
        <v>0.02</v>
      </c>
      <c r="C19" s="18">
        <v>0.06</v>
      </c>
      <c r="D19" s="4" t="str">
        <f>IF(A19='Mortgage Calculator'!$H$4,"True","False")</f>
        <v>False</v>
      </c>
    </row>
    <row r="20" spans="1:4" x14ac:dyDescent="0.25">
      <c r="A20" s="43" t="s">
        <v>52</v>
      </c>
      <c r="B20" s="18">
        <v>5.7999999999999996E-2</v>
      </c>
      <c r="C20" s="18">
        <v>7.1500000000000008E-2</v>
      </c>
      <c r="D20" s="4" t="str">
        <f>IF(A20='Mortgage Calculator'!$H$4,"True","False")</f>
        <v>False</v>
      </c>
    </row>
    <row r="21" spans="1:4" x14ac:dyDescent="0.25">
      <c r="A21" s="43" t="s">
        <v>53</v>
      </c>
      <c r="B21" s="18">
        <v>0.02</v>
      </c>
      <c r="C21" s="18">
        <v>5.7500000000000002E-2</v>
      </c>
      <c r="D21" s="4" t="str">
        <f>IF(A21='Mortgage Calculator'!$H$4,"True","False")</f>
        <v>False</v>
      </c>
    </row>
    <row r="22" spans="1:4" x14ac:dyDescent="0.25">
      <c r="A22" s="43" t="s">
        <v>230</v>
      </c>
      <c r="B22" s="18">
        <v>0.05</v>
      </c>
      <c r="C22" s="18">
        <v>0.05</v>
      </c>
      <c r="D22" s="4" t="str">
        <f>IF(A22='Mortgage Calculator'!$H$4,"True","False")</f>
        <v>False</v>
      </c>
    </row>
    <row r="23" spans="1:4" x14ac:dyDescent="0.25">
      <c r="A23" s="43" t="s">
        <v>231</v>
      </c>
      <c r="B23" s="18">
        <v>4.2500000000000003E-2</v>
      </c>
      <c r="C23" s="18">
        <v>4.2500000000000003E-2</v>
      </c>
      <c r="D23" s="4" t="str">
        <f>IF(A23='Mortgage Calculator'!$H$4,"True","False")</f>
        <v>False</v>
      </c>
    </row>
    <row r="24" spans="1:4" x14ac:dyDescent="0.25">
      <c r="A24" s="43" t="s">
        <v>54</v>
      </c>
      <c r="B24" s="18">
        <v>5.3499999999999999E-2</v>
      </c>
      <c r="C24" s="18">
        <v>9.849999999999999E-2</v>
      </c>
      <c r="D24" s="4" t="str">
        <f>IF(A24='Mortgage Calculator'!$H$4,"True","False")</f>
        <v>False</v>
      </c>
    </row>
    <row r="25" spans="1:4" x14ac:dyDescent="0.25">
      <c r="A25" s="43" t="s">
        <v>55</v>
      </c>
      <c r="B25" s="18">
        <v>0.03</v>
      </c>
      <c r="C25" s="18">
        <v>0.05</v>
      </c>
      <c r="D25" s="4" t="str">
        <f>IF(A25='Mortgage Calculator'!$H$4,"True","False")</f>
        <v>False</v>
      </c>
    </row>
    <row r="26" spans="1:4" x14ac:dyDescent="0.25">
      <c r="A26" s="43" t="s">
        <v>56</v>
      </c>
      <c r="B26" s="18">
        <v>1.4999999999999999E-2</v>
      </c>
      <c r="C26" s="18">
        <v>5.4000000000000006E-2</v>
      </c>
      <c r="D26" s="4" t="str">
        <f>IF(A26='Mortgage Calculator'!$H$4,"True","False")</f>
        <v>False</v>
      </c>
    </row>
    <row r="27" spans="1:4" x14ac:dyDescent="0.25">
      <c r="A27" s="43" t="s">
        <v>57</v>
      </c>
      <c r="B27" s="18">
        <v>0.01</v>
      </c>
      <c r="C27" s="18">
        <v>6.9000000000000006E-2</v>
      </c>
      <c r="D27" s="4" t="str">
        <f>IF(A27='Mortgage Calculator'!$H$4,"True","False")</f>
        <v>False</v>
      </c>
    </row>
    <row r="28" spans="1:4" x14ac:dyDescent="0.25">
      <c r="A28" s="43" t="s">
        <v>58</v>
      </c>
      <c r="B28" s="18">
        <v>2.46E-2</v>
      </c>
      <c r="C28" s="18">
        <v>6.8400000000000002E-2</v>
      </c>
      <c r="D28" s="4" t="str">
        <f>IF(A28='Mortgage Calculator'!$H$4,"True","False")</f>
        <v>False</v>
      </c>
    </row>
    <row r="29" spans="1:4" x14ac:dyDescent="0.25">
      <c r="A29" s="43" t="s">
        <v>219</v>
      </c>
      <c r="B29" s="18">
        <v>0</v>
      </c>
      <c r="C29" s="18">
        <v>0</v>
      </c>
      <c r="D29" s="4" t="str">
        <f>IF(A29='Mortgage Calculator'!$H$4,"True","False")</f>
        <v>False</v>
      </c>
    </row>
    <row r="30" spans="1:4" x14ac:dyDescent="0.25">
      <c r="A30" s="43" t="s">
        <v>220</v>
      </c>
      <c r="B30" s="18">
        <v>0</v>
      </c>
      <c r="C30" s="18">
        <v>0</v>
      </c>
      <c r="D30" s="4" t="str">
        <f>IF(A30='Mortgage Calculator'!$H$4,"True","False")</f>
        <v>False</v>
      </c>
    </row>
    <row r="31" spans="1:4" x14ac:dyDescent="0.25">
      <c r="A31" s="43" t="s">
        <v>59</v>
      </c>
      <c r="B31" s="18">
        <v>1.3999999999999999E-2</v>
      </c>
      <c r="C31" s="18">
        <v>0.1075</v>
      </c>
      <c r="D31" s="4" t="str">
        <f>IF(A31='Mortgage Calculator'!$H$4,"True","False")</f>
        <v>False</v>
      </c>
    </row>
    <row r="32" spans="1:4" x14ac:dyDescent="0.25">
      <c r="A32" s="43" t="s">
        <v>60</v>
      </c>
      <c r="B32" s="18">
        <v>1.7000000000000001E-2</v>
      </c>
      <c r="C32" s="18">
        <v>5.9000000000000004E-2</v>
      </c>
      <c r="D32" s="4" t="str">
        <f>IF(A32='Mortgage Calculator'!$H$4,"True","False")</f>
        <v>False</v>
      </c>
    </row>
    <row r="33" spans="1:4" x14ac:dyDescent="0.25">
      <c r="A33" s="43" t="s">
        <v>61</v>
      </c>
      <c r="B33" s="18">
        <v>0.04</v>
      </c>
      <c r="C33" s="18">
        <v>8.8200000000000001E-2</v>
      </c>
      <c r="D33" s="4" t="str">
        <f>IF(A33='Mortgage Calculator'!$H$4,"True","False")</f>
        <v>False</v>
      </c>
    </row>
    <row r="34" spans="1:4" x14ac:dyDescent="0.25">
      <c r="A34" s="43" t="s">
        <v>232</v>
      </c>
      <c r="B34" s="18">
        <v>5.2499999999999998E-2</v>
      </c>
      <c r="C34" s="18">
        <v>5.2499999999999998E-2</v>
      </c>
      <c r="D34" s="4" t="str">
        <f>IF(A34='Mortgage Calculator'!$H$4,"True","False")</f>
        <v>False</v>
      </c>
    </row>
    <row r="35" spans="1:4" x14ac:dyDescent="0.25">
      <c r="A35" s="43" t="s">
        <v>62</v>
      </c>
      <c r="B35" s="18">
        <v>1.1000000000000001E-2</v>
      </c>
      <c r="C35" s="18">
        <v>2.8999999999999998E-2</v>
      </c>
      <c r="D35" s="4" t="str">
        <f>IF(A35='Mortgage Calculator'!$H$4,"True","False")</f>
        <v>False</v>
      </c>
    </row>
    <row r="36" spans="1:4" x14ac:dyDescent="0.25">
      <c r="A36" s="43" t="s">
        <v>63</v>
      </c>
      <c r="B36" s="18">
        <v>0</v>
      </c>
      <c r="C36" s="18">
        <v>4.7969999999999999E-2</v>
      </c>
      <c r="D36" s="4" t="str">
        <f>IF(A36='Mortgage Calculator'!$H$4,"True","False")</f>
        <v>False</v>
      </c>
    </row>
    <row r="37" spans="1:4" x14ac:dyDescent="0.25">
      <c r="A37" s="43" t="s">
        <v>64</v>
      </c>
      <c r="B37" s="18">
        <v>5.0000000000000001E-3</v>
      </c>
      <c r="C37" s="18">
        <v>0.05</v>
      </c>
      <c r="D37" s="4" t="str">
        <f>IF(A37='Mortgage Calculator'!$H$4,"True","False")</f>
        <v>False</v>
      </c>
    </row>
    <row r="38" spans="1:4" x14ac:dyDescent="0.25">
      <c r="A38" s="43" t="s">
        <v>65</v>
      </c>
      <c r="B38" s="18">
        <v>4.7500000000000001E-2</v>
      </c>
      <c r="C38" s="18">
        <v>9.9000000000000005E-2</v>
      </c>
      <c r="D38" s="4" t="str">
        <f>IF(A38='Mortgage Calculator'!$H$4,"True","False")</f>
        <v>False</v>
      </c>
    </row>
    <row r="39" spans="1:4" x14ac:dyDescent="0.25">
      <c r="A39" s="43" t="s">
        <v>221</v>
      </c>
      <c r="B39" s="18">
        <v>3.0699999999999998E-2</v>
      </c>
      <c r="C39" s="18">
        <v>3.0699999999999998E-2</v>
      </c>
      <c r="D39" s="4" t="str">
        <f>IF(A39='Mortgage Calculator'!$H$4,"True","False")</f>
        <v>False</v>
      </c>
    </row>
    <row r="40" spans="1:4" x14ac:dyDescent="0.25">
      <c r="A40" s="43" t="s">
        <v>66</v>
      </c>
      <c r="B40" s="18">
        <v>3.7499999999999999E-2</v>
      </c>
      <c r="C40" s="18">
        <v>5.9900000000000002E-2</v>
      </c>
      <c r="D40" s="4" t="str">
        <f>IF(A40='Mortgage Calculator'!$H$4,"True","False")</f>
        <v>False</v>
      </c>
    </row>
    <row r="41" spans="1:4" x14ac:dyDescent="0.25">
      <c r="A41" s="43" t="s">
        <v>67</v>
      </c>
      <c r="B41" s="18">
        <v>0</v>
      </c>
      <c r="C41" s="18">
        <v>7.0000000000000007E-2</v>
      </c>
      <c r="D41" s="4" t="str">
        <f>IF(A41='Mortgage Calculator'!$H$4,"True","False")</f>
        <v>False</v>
      </c>
    </row>
    <row r="42" spans="1:4" x14ac:dyDescent="0.25">
      <c r="A42" s="43" t="s">
        <v>222</v>
      </c>
      <c r="B42" s="18">
        <v>0</v>
      </c>
      <c r="C42" s="18">
        <v>0</v>
      </c>
      <c r="D42" s="4" t="str">
        <f>IF(A42='Mortgage Calculator'!$H$4,"True","False")</f>
        <v>False</v>
      </c>
    </row>
    <row r="43" spans="1:4" x14ac:dyDescent="0.25">
      <c r="A43" s="43" t="s">
        <v>223</v>
      </c>
      <c r="B43" s="18">
        <v>0</v>
      </c>
      <c r="C43" s="18">
        <v>0</v>
      </c>
      <c r="D43" s="4" t="str">
        <f>IF(A43='Mortgage Calculator'!$H$4,"True","False")</f>
        <v>False</v>
      </c>
    </row>
    <row r="44" spans="1:4" x14ac:dyDescent="0.25">
      <c r="A44" s="43" t="s">
        <v>224</v>
      </c>
      <c r="B44" s="18">
        <v>0</v>
      </c>
      <c r="C44" s="18">
        <v>0</v>
      </c>
      <c r="D44" s="4" t="str">
        <f>IF(A44='Mortgage Calculator'!$H$4,"True","False")</f>
        <v>True</v>
      </c>
    </row>
    <row r="45" spans="1:4" x14ac:dyDescent="0.25">
      <c r="A45" s="43" t="s">
        <v>233</v>
      </c>
      <c r="B45" s="18">
        <v>4.9500000000000002E-2</v>
      </c>
      <c r="C45" s="18">
        <v>4.9500000000000002E-2</v>
      </c>
      <c r="D45" s="4" t="str">
        <f>IF(A45='Mortgage Calculator'!$H$4,"True","False")</f>
        <v>False</v>
      </c>
    </row>
    <row r="46" spans="1:4" x14ac:dyDescent="0.25">
      <c r="A46" s="43" t="s">
        <v>68</v>
      </c>
      <c r="B46" s="18">
        <v>3.3500000000000002E-2</v>
      </c>
      <c r="C46" s="18">
        <v>8.7499999999999994E-2</v>
      </c>
      <c r="D46" s="4" t="str">
        <f>IF(A46='Mortgage Calculator'!$H$4,"True","False")</f>
        <v>False</v>
      </c>
    </row>
    <row r="47" spans="1:4" x14ac:dyDescent="0.25">
      <c r="A47" s="43" t="s">
        <v>69</v>
      </c>
      <c r="B47" s="18">
        <v>0.02</v>
      </c>
      <c r="C47" s="18">
        <v>5.7500000000000002E-2</v>
      </c>
      <c r="D47" s="4" t="str">
        <f>IF(A47='Mortgage Calculator'!$H$4,"True","False")</f>
        <v>False</v>
      </c>
    </row>
    <row r="48" spans="1:4" x14ac:dyDescent="0.25">
      <c r="A48" s="43" t="s">
        <v>225</v>
      </c>
      <c r="B48" s="18">
        <v>0</v>
      </c>
      <c r="C48" s="18">
        <v>0</v>
      </c>
      <c r="D48" s="4" t="str">
        <f>IF(A48='Mortgage Calculator'!$H$4,"True","False")</f>
        <v>False</v>
      </c>
    </row>
    <row r="49" spans="1:4" x14ac:dyDescent="0.25">
      <c r="A49" s="43" t="s">
        <v>70</v>
      </c>
      <c r="B49" s="18">
        <v>0.03</v>
      </c>
      <c r="C49" s="18">
        <v>6.5000000000000002E-2</v>
      </c>
      <c r="D49" s="4" t="str">
        <f>IF(A49='Mortgage Calculator'!$H$4,"True","False")</f>
        <v>False</v>
      </c>
    </row>
    <row r="50" spans="1:4" x14ac:dyDescent="0.25">
      <c r="A50" s="43" t="s">
        <v>71</v>
      </c>
      <c r="B50" s="18">
        <v>3.5400000000000001E-2</v>
      </c>
      <c r="C50" s="18">
        <v>7.6499999999999999E-2</v>
      </c>
      <c r="D50" s="4" t="str">
        <f>IF(A50='Mortgage Calculator'!$H$4,"True","False")</f>
        <v>False</v>
      </c>
    </row>
    <row r="51" spans="1:4" x14ac:dyDescent="0.25">
      <c r="A51" s="43" t="s">
        <v>226</v>
      </c>
      <c r="B51" s="18">
        <v>0</v>
      </c>
      <c r="C51" s="18">
        <v>0</v>
      </c>
      <c r="D51" s="4" t="str">
        <f>IF(A51='Mortgage Calculator'!$H$4,"True","False")</f>
        <v>False</v>
      </c>
    </row>
    <row r="52" spans="1:4" x14ac:dyDescent="0.25">
      <c r="A52" s="43" t="s">
        <v>234</v>
      </c>
      <c r="B52" s="18">
        <v>0.04</v>
      </c>
      <c r="C52" s="18">
        <v>8.9499999999999996E-2</v>
      </c>
      <c r="D52" s="4" t="str">
        <f>IF(A52='Mortgage Calculator'!$H$4,"True","False")</f>
        <v>False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63A4F-F8DE-4D4C-A054-5ECD60C6A448}">
  <sheetPr codeName="Sheet3"/>
  <dimension ref="A1:AY96"/>
  <sheetViews>
    <sheetView workbookViewId="0">
      <selection activeCell="F6" sqref="F6"/>
    </sheetView>
  </sheetViews>
  <sheetFormatPr defaultRowHeight="15" x14ac:dyDescent="0.25"/>
  <cols>
    <col min="2" max="2" width="13.7109375" bestFit="1" customWidth="1"/>
    <col min="8" max="9" width="9.7109375" bestFit="1" customWidth="1"/>
    <col min="10" max="10" width="13.140625" customWidth="1"/>
    <col min="51" max="51" width="11.42578125" customWidth="1"/>
  </cols>
  <sheetData>
    <row r="1" spans="1:51" x14ac:dyDescent="0.25">
      <c r="A1" t="s">
        <v>75</v>
      </c>
      <c r="B1" t="s">
        <v>335</v>
      </c>
      <c r="C1" t="s">
        <v>76</v>
      </c>
      <c r="D1" t="s">
        <v>77</v>
      </c>
      <c r="E1" t="s">
        <v>236</v>
      </c>
      <c r="F1" t="s">
        <v>78</v>
      </c>
      <c r="G1" t="s">
        <v>79</v>
      </c>
      <c r="H1" s="1">
        <v>43131</v>
      </c>
      <c r="I1" s="1">
        <v>43159</v>
      </c>
      <c r="J1" s="1">
        <v>43190</v>
      </c>
      <c r="K1" s="1">
        <v>43220</v>
      </c>
      <c r="L1" s="1">
        <v>43251</v>
      </c>
      <c r="M1" s="1">
        <v>43281</v>
      </c>
      <c r="N1" s="1">
        <v>43312</v>
      </c>
      <c r="O1" s="1">
        <v>43343</v>
      </c>
      <c r="P1" s="1">
        <v>43373</v>
      </c>
      <c r="Q1" s="1">
        <v>43404</v>
      </c>
      <c r="R1" s="1">
        <v>43434</v>
      </c>
      <c r="S1" s="1">
        <v>43465</v>
      </c>
      <c r="T1" s="1">
        <v>43496</v>
      </c>
      <c r="U1" s="1">
        <v>43524</v>
      </c>
      <c r="V1" s="1">
        <v>43555</v>
      </c>
      <c r="W1" s="1">
        <v>43585</v>
      </c>
      <c r="X1" s="1">
        <v>43616</v>
      </c>
      <c r="Y1" s="1">
        <v>43646</v>
      </c>
      <c r="Z1" s="1">
        <v>43677</v>
      </c>
      <c r="AA1" s="1">
        <v>43708</v>
      </c>
      <c r="AB1" s="1">
        <v>43738</v>
      </c>
      <c r="AC1" s="1">
        <v>43769</v>
      </c>
      <c r="AD1" s="1">
        <v>43799</v>
      </c>
      <c r="AE1" s="1">
        <v>43830</v>
      </c>
      <c r="AF1" s="1">
        <v>43861</v>
      </c>
      <c r="AG1" s="1">
        <v>43890</v>
      </c>
      <c r="AH1" s="1">
        <v>43921</v>
      </c>
      <c r="AI1" s="1">
        <v>43951</v>
      </c>
      <c r="AJ1" s="1">
        <v>43982</v>
      </c>
      <c r="AK1" s="1">
        <v>44012</v>
      </c>
      <c r="AL1" s="1">
        <v>44043</v>
      </c>
      <c r="AM1" s="1">
        <v>44074</v>
      </c>
      <c r="AN1" s="1">
        <v>44104</v>
      </c>
      <c r="AO1" s="1">
        <v>44135</v>
      </c>
      <c r="AP1" s="1">
        <v>44165</v>
      </c>
      <c r="AQ1" s="1">
        <v>44196</v>
      </c>
      <c r="AR1" s="1">
        <v>44227</v>
      </c>
      <c r="AS1" s="1">
        <v>44255</v>
      </c>
      <c r="AT1" s="1">
        <v>44286</v>
      </c>
      <c r="AU1" s="1">
        <v>44316</v>
      </c>
      <c r="AV1" s="1">
        <v>44347</v>
      </c>
      <c r="AW1" s="1">
        <v>44377</v>
      </c>
      <c r="AX1" s="1">
        <v>44408</v>
      </c>
      <c r="AY1" s="1">
        <v>44439</v>
      </c>
    </row>
    <row r="2" spans="1:51" x14ac:dyDescent="0.25">
      <c r="A2">
        <v>394388</v>
      </c>
      <c r="B2" t="str">
        <f>IF(E2='Mortgage Calculator'!$H$8,"True","False")</f>
        <v>False</v>
      </c>
      <c r="C2">
        <v>49</v>
      </c>
      <c r="D2" t="s">
        <v>159</v>
      </c>
      <c r="E2" t="s">
        <v>285</v>
      </c>
      <c r="F2" t="s">
        <v>82</v>
      </c>
      <c r="G2" t="s">
        <v>160</v>
      </c>
      <c r="H2">
        <v>206600</v>
      </c>
      <c r="I2">
        <v>207133</v>
      </c>
      <c r="J2">
        <v>215133</v>
      </c>
      <c r="K2">
        <v>226584</v>
      </c>
      <c r="L2">
        <v>236051</v>
      </c>
      <c r="M2">
        <v>239384</v>
      </c>
      <c r="N2">
        <v>239900</v>
      </c>
      <c r="O2">
        <v>239900</v>
      </c>
      <c r="P2">
        <v>238267</v>
      </c>
      <c r="Q2">
        <v>234633</v>
      </c>
      <c r="R2">
        <v>231000</v>
      </c>
      <c r="S2">
        <v>229300</v>
      </c>
      <c r="T2">
        <v>229600</v>
      </c>
      <c r="U2">
        <v>233233</v>
      </c>
      <c r="V2">
        <v>239900</v>
      </c>
      <c r="W2">
        <v>249900</v>
      </c>
      <c r="X2">
        <v>258567</v>
      </c>
      <c r="Y2">
        <v>265233</v>
      </c>
      <c r="Z2">
        <v>270267</v>
      </c>
      <c r="AA2">
        <v>271633</v>
      </c>
      <c r="AB2">
        <v>272060</v>
      </c>
      <c r="AC2">
        <v>271727</v>
      </c>
      <c r="AD2">
        <v>271693</v>
      </c>
      <c r="AE2">
        <v>269632</v>
      </c>
      <c r="AF2">
        <v>266598</v>
      </c>
      <c r="AG2">
        <v>265870</v>
      </c>
      <c r="AH2">
        <v>267505</v>
      </c>
      <c r="AI2">
        <v>269172</v>
      </c>
      <c r="AJ2">
        <v>273233</v>
      </c>
      <c r="AK2">
        <v>277933</v>
      </c>
      <c r="AL2">
        <v>281557</v>
      </c>
      <c r="AM2">
        <v>281257</v>
      </c>
      <c r="AN2">
        <v>276590</v>
      </c>
      <c r="AO2">
        <v>274017</v>
      </c>
      <c r="AP2">
        <v>272317</v>
      </c>
      <c r="AQ2">
        <v>274833</v>
      </c>
      <c r="AR2">
        <v>276100</v>
      </c>
      <c r="AS2">
        <v>278100</v>
      </c>
      <c r="AT2">
        <v>278883</v>
      </c>
      <c r="AU2">
        <v>284250</v>
      </c>
      <c r="AV2">
        <v>288583</v>
      </c>
      <c r="AW2">
        <v>290917</v>
      </c>
      <c r="AX2">
        <v>286600</v>
      </c>
      <c r="AY2">
        <v>284850</v>
      </c>
    </row>
    <row r="3" spans="1:51" x14ac:dyDescent="0.25">
      <c r="A3">
        <v>394798</v>
      </c>
      <c r="B3" t="str">
        <f>IF(E3='Mortgage Calculator'!$H$8,"True","False")</f>
        <v>False</v>
      </c>
      <c r="C3">
        <v>76</v>
      </c>
      <c r="D3" t="s">
        <v>192</v>
      </c>
      <c r="E3" t="s">
        <v>312</v>
      </c>
      <c r="F3" t="s">
        <v>82</v>
      </c>
      <c r="G3" t="s">
        <v>193</v>
      </c>
      <c r="H3">
        <v>168022</v>
      </c>
      <c r="I3">
        <v>170469</v>
      </c>
      <c r="J3">
        <v>172152</v>
      </c>
      <c r="K3">
        <v>174568</v>
      </c>
      <c r="L3">
        <v>176740</v>
      </c>
      <c r="M3">
        <v>178270</v>
      </c>
      <c r="N3">
        <v>177994</v>
      </c>
      <c r="O3">
        <v>176434</v>
      </c>
      <c r="P3">
        <v>174905</v>
      </c>
      <c r="Q3">
        <v>175058</v>
      </c>
      <c r="R3">
        <v>175088</v>
      </c>
      <c r="S3">
        <v>175088</v>
      </c>
      <c r="T3">
        <v>174293</v>
      </c>
      <c r="U3">
        <v>174905</v>
      </c>
      <c r="V3">
        <v>177688</v>
      </c>
      <c r="W3">
        <v>181411</v>
      </c>
      <c r="X3">
        <v>188446</v>
      </c>
      <c r="Y3">
        <v>193340</v>
      </c>
      <c r="Z3">
        <v>197296</v>
      </c>
      <c r="AA3">
        <v>197296</v>
      </c>
      <c r="AB3">
        <v>195736</v>
      </c>
      <c r="AC3">
        <v>194206</v>
      </c>
      <c r="AD3">
        <v>191759</v>
      </c>
      <c r="AE3">
        <v>190872</v>
      </c>
      <c r="AF3">
        <v>189954</v>
      </c>
      <c r="AG3">
        <v>190872</v>
      </c>
      <c r="AH3">
        <v>194543</v>
      </c>
      <c r="AI3">
        <v>198519</v>
      </c>
      <c r="AJ3">
        <v>203107</v>
      </c>
      <c r="AK3">
        <v>204912</v>
      </c>
      <c r="AL3">
        <v>206136</v>
      </c>
      <c r="AM3">
        <v>204606</v>
      </c>
      <c r="AN3">
        <v>204637</v>
      </c>
      <c r="AO3">
        <v>205375</v>
      </c>
      <c r="AP3">
        <v>209185</v>
      </c>
      <c r="AQ3">
        <v>211438</v>
      </c>
      <c r="AR3">
        <v>213848</v>
      </c>
      <c r="AS3">
        <v>214410</v>
      </c>
      <c r="AT3">
        <v>220000</v>
      </c>
      <c r="AU3">
        <v>225000</v>
      </c>
      <c r="AV3">
        <v>229900</v>
      </c>
      <c r="AW3">
        <v>230567</v>
      </c>
      <c r="AX3">
        <v>232233</v>
      </c>
      <c r="AY3">
        <v>232300</v>
      </c>
    </row>
    <row r="4" spans="1:51" x14ac:dyDescent="0.25">
      <c r="A4">
        <v>394976</v>
      </c>
      <c r="B4" t="str">
        <f>IF(E4='Mortgage Calculator'!$H$8,"True","False")</f>
        <v>False</v>
      </c>
      <c r="C4">
        <v>14</v>
      </c>
      <c r="D4" t="s">
        <v>105</v>
      </c>
      <c r="E4" t="s">
        <v>250</v>
      </c>
      <c r="F4" t="s">
        <v>82</v>
      </c>
      <c r="G4" t="s">
        <v>106</v>
      </c>
      <c r="H4">
        <v>339060</v>
      </c>
      <c r="I4">
        <v>345087</v>
      </c>
      <c r="J4">
        <v>353578</v>
      </c>
      <c r="K4">
        <v>358980</v>
      </c>
      <c r="L4">
        <v>361786</v>
      </c>
      <c r="M4">
        <v>360092</v>
      </c>
      <c r="N4">
        <v>356728</v>
      </c>
      <c r="O4">
        <v>351614</v>
      </c>
      <c r="P4">
        <v>348216</v>
      </c>
      <c r="Q4">
        <v>346178</v>
      </c>
      <c r="R4">
        <v>345855</v>
      </c>
      <c r="S4">
        <v>345855</v>
      </c>
      <c r="T4">
        <v>347860</v>
      </c>
      <c r="U4">
        <v>350714</v>
      </c>
      <c r="V4">
        <v>354145</v>
      </c>
      <c r="W4">
        <v>358902</v>
      </c>
      <c r="X4">
        <v>363149</v>
      </c>
      <c r="Y4">
        <v>366547</v>
      </c>
      <c r="Z4">
        <v>366918</v>
      </c>
      <c r="AA4">
        <v>367971</v>
      </c>
      <c r="AB4">
        <v>369670</v>
      </c>
      <c r="AC4">
        <v>371372</v>
      </c>
      <c r="AD4">
        <v>373747</v>
      </c>
      <c r="AE4">
        <v>377111</v>
      </c>
      <c r="AF4">
        <v>383227</v>
      </c>
      <c r="AG4">
        <v>389992</v>
      </c>
      <c r="AH4">
        <v>396481</v>
      </c>
      <c r="AI4">
        <v>392030</v>
      </c>
      <c r="AJ4">
        <v>386968</v>
      </c>
      <c r="AK4">
        <v>385608</v>
      </c>
      <c r="AL4">
        <v>395802</v>
      </c>
      <c r="AM4">
        <v>404296</v>
      </c>
      <c r="AN4">
        <v>407694</v>
      </c>
      <c r="AO4">
        <v>407720</v>
      </c>
      <c r="AP4">
        <v>407380</v>
      </c>
      <c r="AQ4">
        <v>407380</v>
      </c>
      <c r="AR4">
        <v>408112</v>
      </c>
      <c r="AS4">
        <v>409209</v>
      </c>
      <c r="AT4">
        <v>414967</v>
      </c>
      <c r="AU4">
        <v>424967</v>
      </c>
      <c r="AV4">
        <v>438300</v>
      </c>
      <c r="AW4">
        <v>449967</v>
      </c>
      <c r="AX4">
        <v>459967</v>
      </c>
      <c r="AY4">
        <v>466633</v>
      </c>
    </row>
    <row r="5" spans="1:51" x14ac:dyDescent="0.25">
      <c r="A5">
        <v>395167</v>
      </c>
      <c r="B5" t="str">
        <f>IF(E5='Mortgage Calculator'!$H$8,"True","False")</f>
        <v>False</v>
      </c>
      <c r="C5">
        <v>53</v>
      </c>
      <c r="D5" t="s">
        <v>165</v>
      </c>
      <c r="E5" t="s">
        <v>289</v>
      </c>
      <c r="F5" t="s">
        <v>82</v>
      </c>
      <c r="G5" t="s">
        <v>106</v>
      </c>
      <c r="H5">
        <v>260933</v>
      </c>
      <c r="I5">
        <v>264300</v>
      </c>
      <c r="J5">
        <v>269333</v>
      </c>
      <c r="K5">
        <v>274997</v>
      </c>
      <c r="L5">
        <v>279997</v>
      </c>
      <c r="M5">
        <v>281330</v>
      </c>
      <c r="N5">
        <v>281300</v>
      </c>
      <c r="O5">
        <v>280900</v>
      </c>
      <c r="P5">
        <v>282900</v>
      </c>
      <c r="Q5">
        <v>282900</v>
      </c>
      <c r="R5">
        <v>281467</v>
      </c>
      <c r="S5">
        <v>279633</v>
      </c>
      <c r="T5">
        <v>279667</v>
      </c>
      <c r="U5">
        <v>282333</v>
      </c>
      <c r="V5">
        <v>288167</v>
      </c>
      <c r="W5">
        <v>294667</v>
      </c>
      <c r="X5">
        <v>298800</v>
      </c>
      <c r="Y5">
        <v>298133</v>
      </c>
      <c r="Z5">
        <v>296150</v>
      </c>
      <c r="AA5">
        <v>293350</v>
      </c>
      <c r="AB5">
        <v>293317</v>
      </c>
      <c r="AC5">
        <v>293467</v>
      </c>
      <c r="AD5">
        <v>293967</v>
      </c>
      <c r="AE5">
        <v>292300</v>
      </c>
      <c r="AF5">
        <v>292633</v>
      </c>
      <c r="AG5">
        <v>294933</v>
      </c>
      <c r="AH5">
        <v>298300</v>
      </c>
      <c r="AI5">
        <v>298933</v>
      </c>
      <c r="AJ5">
        <v>300600</v>
      </c>
      <c r="AK5">
        <v>308933</v>
      </c>
      <c r="AL5">
        <v>319933</v>
      </c>
      <c r="AM5">
        <v>329967</v>
      </c>
      <c r="AN5">
        <v>328292</v>
      </c>
      <c r="AO5">
        <v>323325</v>
      </c>
      <c r="AP5">
        <v>319992</v>
      </c>
      <c r="AQ5">
        <v>321667</v>
      </c>
      <c r="AR5">
        <v>327333</v>
      </c>
      <c r="AS5">
        <v>335642</v>
      </c>
      <c r="AT5">
        <v>348975</v>
      </c>
      <c r="AU5">
        <v>364975</v>
      </c>
      <c r="AV5">
        <v>376667</v>
      </c>
      <c r="AW5">
        <v>384967</v>
      </c>
      <c r="AX5">
        <v>384967</v>
      </c>
      <c r="AY5">
        <v>381633</v>
      </c>
    </row>
    <row r="6" spans="1:51" x14ac:dyDescent="0.25">
      <c r="A6">
        <v>394357</v>
      </c>
      <c r="B6" t="str">
        <f>IF(E6='Mortgage Calculator'!$H$8,"True","False")</f>
        <v>False</v>
      </c>
      <c r="C6">
        <v>63</v>
      </c>
      <c r="D6" t="s">
        <v>178</v>
      </c>
      <c r="E6" t="s">
        <v>299</v>
      </c>
      <c r="F6" t="s">
        <v>82</v>
      </c>
      <c r="G6" t="s">
        <v>85</v>
      </c>
      <c r="H6">
        <v>249052</v>
      </c>
      <c r="I6">
        <v>251971</v>
      </c>
      <c r="J6">
        <v>257392</v>
      </c>
      <c r="K6">
        <v>263318</v>
      </c>
      <c r="L6">
        <v>266526</v>
      </c>
      <c r="M6">
        <v>267809</v>
      </c>
      <c r="N6">
        <v>267497</v>
      </c>
      <c r="O6">
        <v>264578</v>
      </c>
      <c r="P6">
        <v>259766</v>
      </c>
      <c r="Q6">
        <v>254953</v>
      </c>
      <c r="R6">
        <v>251296</v>
      </c>
      <c r="S6">
        <v>248121</v>
      </c>
      <c r="T6">
        <v>246486</v>
      </c>
      <c r="U6">
        <v>245363</v>
      </c>
      <c r="V6">
        <v>248090</v>
      </c>
      <c r="W6">
        <v>254537</v>
      </c>
      <c r="X6">
        <v>260953</v>
      </c>
      <c r="Y6">
        <v>264642</v>
      </c>
      <c r="Z6">
        <v>265925</v>
      </c>
      <c r="AA6">
        <v>264962</v>
      </c>
      <c r="AB6">
        <v>263035</v>
      </c>
      <c r="AC6">
        <v>258512</v>
      </c>
      <c r="AD6">
        <v>256234</v>
      </c>
      <c r="AE6">
        <v>254922</v>
      </c>
      <c r="AF6">
        <v>256237</v>
      </c>
      <c r="AG6">
        <v>257870</v>
      </c>
      <c r="AH6">
        <v>262393</v>
      </c>
      <c r="AI6">
        <v>264318</v>
      </c>
      <c r="AJ6">
        <v>265925</v>
      </c>
      <c r="AK6">
        <v>265925</v>
      </c>
      <c r="AL6">
        <v>269133</v>
      </c>
      <c r="AM6">
        <v>276831</v>
      </c>
      <c r="AN6">
        <v>284851</v>
      </c>
      <c r="AO6">
        <v>292854</v>
      </c>
      <c r="AP6">
        <v>294779</v>
      </c>
      <c r="AQ6">
        <v>290288</v>
      </c>
      <c r="AR6">
        <v>284196</v>
      </c>
      <c r="AS6">
        <v>281359</v>
      </c>
      <c r="AT6">
        <v>287667</v>
      </c>
      <c r="AU6">
        <v>297333</v>
      </c>
      <c r="AV6">
        <v>309000</v>
      </c>
      <c r="AW6">
        <v>316300</v>
      </c>
      <c r="AX6">
        <v>321633</v>
      </c>
      <c r="AY6">
        <v>319967</v>
      </c>
    </row>
    <row r="7" spans="1:51" x14ac:dyDescent="0.25">
      <c r="A7">
        <v>394619</v>
      </c>
      <c r="B7" t="str">
        <f>IF(E7='Mortgage Calculator'!$H$8,"True","False")</f>
        <v>False</v>
      </c>
      <c r="C7">
        <v>56</v>
      </c>
      <c r="D7" t="s">
        <v>169</v>
      </c>
      <c r="E7" t="s">
        <v>292</v>
      </c>
      <c r="F7" t="s">
        <v>82</v>
      </c>
      <c r="G7" t="s">
        <v>85</v>
      </c>
      <c r="H7">
        <v>334297</v>
      </c>
      <c r="I7">
        <v>332021</v>
      </c>
      <c r="J7">
        <v>331987</v>
      </c>
      <c r="K7">
        <v>335052</v>
      </c>
      <c r="L7">
        <v>339189</v>
      </c>
      <c r="M7">
        <v>342633</v>
      </c>
      <c r="N7">
        <v>342667</v>
      </c>
      <c r="O7">
        <v>340945</v>
      </c>
      <c r="P7">
        <v>337501</v>
      </c>
      <c r="Q7">
        <v>335698</v>
      </c>
      <c r="R7">
        <v>333632</v>
      </c>
      <c r="S7">
        <v>330222</v>
      </c>
      <c r="T7">
        <v>325825</v>
      </c>
      <c r="U7">
        <v>324447</v>
      </c>
      <c r="V7">
        <v>326474</v>
      </c>
      <c r="W7">
        <v>334395</v>
      </c>
      <c r="X7">
        <v>345379</v>
      </c>
      <c r="Y7">
        <v>355408</v>
      </c>
      <c r="Z7">
        <v>363674</v>
      </c>
      <c r="AA7">
        <v>364711</v>
      </c>
      <c r="AB7">
        <v>364366</v>
      </c>
      <c r="AC7">
        <v>359424</v>
      </c>
      <c r="AD7">
        <v>355282</v>
      </c>
      <c r="AE7">
        <v>352182</v>
      </c>
      <c r="AF7">
        <v>351853</v>
      </c>
      <c r="AG7">
        <v>354307</v>
      </c>
      <c r="AH7">
        <v>359474</v>
      </c>
      <c r="AI7">
        <v>361628</v>
      </c>
      <c r="AJ7">
        <v>367401</v>
      </c>
      <c r="AK7">
        <v>374289</v>
      </c>
      <c r="AL7">
        <v>384639</v>
      </c>
      <c r="AM7">
        <v>390921</v>
      </c>
      <c r="AN7">
        <v>392609</v>
      </c>
      <c r="AO7">
        <v>391228</v>
      </c>
      <c r="AP7">
        <v>391228</v>
      </c>
      <c r="AQ7">
        <v>389540</v>
      </c>
      <c r="AR7">
        <v>389707</v>
      </c>
      <c r="AS7">
        <v>388659</v>
      </c>
      <c r="AT7">
        <v>392167</v>
      </c>
      <c r="AU7">
        <v>402500</v>
      </c>
      <c r="AV7">
        <v>417500</v>
      </c>
      <c r="AW7">
        <v>427167</v>
      </c>
      <c r="AX7">
        <v>427167</v>
      </c>
      <c r="AY7">
        <v>422300</v>
      </c>
    </row>
    <row r="8" spans="1:51" x14ac:dyDescent="0.25">
      <c r="A8">
        <v>753899</v>
      </c>
      <c r="B8" t="str">
        <f>IF(E8='Mortgage Calculator'!$H$8,"True","False")</f>
        <v>False</v>
      </c>
      <c r="C8">
        <v>2</v>
      </c>
      <c r="D8" t="s">
        <v>84</v>
      </c>
      <c r="E8" t="s">
        <v>238</v>
      </c>
      <c r="F8" t="s">
        <v>82</v>
      </c>
      <c r="G8" t="s">
        <v>85</v>
      </c>
      <c r="H8">
        <v>798333</v>
      </c>
      <c r="I8">
        <v>802633</v>
      </c>
      <c r="J8">
        <v>817967</v>
      </c>
      <c r="K8">
        <v>834967</v>
      </c>
      <c r="L8">
        <v>848300</v>
      </c>
      <c r="M8">
        <v>849633</v>
      </c>
      <c r="N8">
        <v>841300</v>
      </c>
      <c r="O8">
        <v>824000</v>
      </c>
      <c r="P8">
        <v>801000</v>
      </c>
      <c r="Q8">
        <v>784333</v>
      </c>
      <c r="R8">
        <v>771633</v>
      </c>
      <c r="S8">
        <v>761600</v>
      </c>
      <c r="T8">
        <v>752933</v>
      </c>
      <c r="U8">
        <v>749633</v>
      </c>
      <c r="V8">
        <v>759667</v>
      </c>
      <c r="W8">
        <v>776600</v>
      </c>
      <c r="X8">
        <v>801600</v>
      </c>
      <c r="Y8">
        <v>821600</v>
      </c>
      <c r="Z8">
        <v>837667</v>
      </c>
      <c r="AA8">
        <v>845667</v>
      </c>
      <c r="AB8">
        <v>845667</v>
      </c>
      <c r="AC8">
        <v>845933</v>
      </c>
      <c r="AD8">
        <v>845933</v>
      </c>
      <c r="AE8">
        <v>848933</v>
      </c>
      <c r="AF8">
        <v>849333</v>
      </c>
      <c r="AG8">
        <v>865667</v>
      </c>
      <c r="AH8">
        <v>882666</v>
      </c>
      <c r="AI8">
        <v>886000</v>
      </c>
      <c r="AJ8">
        <v>881633</v>
      </c>
      <c r="AK8">
        <v>891300</v>
      </c>
      <c r="AL8">
        <v>924300</v>
      </c>
      <c r="AM8">
        <v>955167</v>
      </c>
      <c r="AN8">
        <v>965500</v>
      </c>
      <c r="AO8">
        <v>970833</v>
      </c>
      <c r="AP8">
        <v>975000</v>
      </c>
      <c r="AQ8">
        <v>988000</v>
      </c>
      <c r="AR8">
        <v>995667</v>
      </c>
      <c r="AS8">
        <v>998667</v>
      </c>
      <c r="AT8">
        <v>1004000</v>
      </c>
      <c r="AU8">
        <v>1004666</v>
      </c>
      <c r="AV8">
        <v>1004966</v>
      </c>
      <c r="AW8">
        <v>999633</v>
      </c>
      <c r="AX8">
        <v>991300</v>
      </c>
      <c r="AY8">
        <v>971300</v>
      </c>
    </row>
    <row r="9" spans="1:51" x14ac:dyDescent="0.25">
      <c r="A9">
        <v>395025</v>
      </c>
      <c r="B9" t="str">
        <f>IF(E9='Mortgage Calculator'!$H$8,"True","False")</f>
        <v>False</v>
      </c>
      <c r="C9">
        <v>13</v>
      </c>
      <c r="D9" t="s">
        <v>104</v>
      </c>
      <c r="E9" t="s">
        <v>249</v>
      </c>
      <c r="F9" t="s">
        <v>82</v>
      </c>
      <c r="G9" t="s">
        <v>85</v>
      </c>
      <c r="H9">
        <v>390666</v>
      </c>
      <c r="I9">
        <v>393333</v>
      </c>
      <c r="J9">
        <v>396667</v>
      </c>
      <c r="K9">
        <v>402666</v>
      </c>
      <c r="L9">
        <v>406633</v>
      </c>
      <c r="M9">
        <v>409966</v>
      </c>
      <c r="N9">
        <v>409800</v>
      </c>
      <c r="O9">
        <v>406500</v>
      </c>
      <c r="P9">
        <v>403166</v>
      </c>
      <c r="Q9">
        <v>399966</v>
      </c>
      <c r="R9">
        <v>399633</v>
      </c>
      <c r="S9">
        <v>398300</v>
      </c>
      <c r="T9">
        <v>398000</v>
      </c>
      <c r="U9">
        <v>398300</v>
      </c>
      <c r="V9">
        <v>402967</v>
      </c>
      <c r="W9">
        <v>408300</v>
      </c>
      <c r="X9">
        <v>415000</v>
      </c>
      <c r="Y9">
        <v>419967</v>
      </c>
      <c r="Z9">
        <v>423267</v>
      </c>
      <c r="AA9">
        <v>423267</v>
      </c>
      <c r="AB9">
        <v>419967</v>
      </c>
      <c r="AC9">
        <v>416667</v>
      </c>
      <c r="AD9">
        <v>415000</v>
      </c>
      <c r="AE9">
        <v>414667</v>
      </c>
      <c r="AF9">
        <v>414667</v>
      </c>
      <c r="AG9">
        <v>418000</v>
      </c>
      <c r="AH9">
        <v>423000</v>
      </c>
      <c r="AI9">
        <v>426333</v>
      </c>
      <c r="AJ9">
        <v>428000</v>
      </c>
      <c r="AK9">
        <v>434667</v>
      </c>
      <c r="AL9">
        <v>446333</v>
      </c>
      <c r="AM9">
        <v>461333</v>
      </c>
      <c r="AN9">
        <v>471667</v>
      </c>
      <c r="AO9">
        <v>480000</v>
      </c>
      <c r="AP9">
        <v>485000</v>
      </c>
      <c r="AQ9">
        <v>490000</v>
      </c>
      <c r="AR9">
        <v>491633</v>
      </c>
      <c r="AS9">
        <v>493300</v>
      </c>
      <c r="AT9">
        <v>494933</v>
      </c>
      <c r="AU9">
        <v>506633</v>
      </c>
      <c r="AV9">
        <v>519967</v>
      </c>
      <c r="AW9">
        <v>533333</v>
      </c>
      <c r="AX9">
        <v>541333</v>
      </c>
      <c r="AY9">
        <v>546300</v>
      </c>
    </row>
    <row r="10" spans="1:51" x14ac:dyDescent="0.25">
      <c r="A10">
        <v>395045</v>
      </c>
      <c r="B10" t="str">
        <f>IF(E10='Mortgage Calculator'!$H$8,"True","False")</f>
        <v>False</v>
      </c>
      <c r="C10">
        <v>25</v>
      </c>
      <c r="D10" t="s">
        <v>124</v>
      </c>
      <c r="E10" t="s">
        <v>261</v>
      </c>
      <c r="F10" t="s">
        <v>82</v>
      </c>
      <c r="G10" t="s">
        <v>85</v>
      </c>
      <c r="H10">
        <v>462983</v>
      </c>
      <c r="I10">
        <v>468663</v>
      </c>
      <c r="J10">
        <v>476663</v>
      </c>
      <c r="K10">
        <v>484963</v>
      </c>
      <c r="L10">
        <v>490967</v>
      </c>
      <c r="M10">
        <v>491267</v>
      </c>
      <c r="N10">
        <v>486800</v>
      </c>
      <c r="O10">
        <v>480133</v>
      </c>
      <c r="P10">
        <v>473000</v>
      </c>
      <c r="Q10">
        <v>466167</v>
      </c>
      <c r="R10">
        <v>459467</v>
      </c>
      <c r="S10">
        <v>456300</v>
      </c>
      <c r="T10">
        <v>458300</v>
      </c>
      <c r="U10">
        <v>466333</v>
      </c>
      <c r="V10">
        <v>481000</v>
      </c>
      <c r="W10">
        <v>492665</v>
      </c>
      <c r="X10">
        <v>504632</v>
      </c>
      <c r="Y10">
        <v>513298</v>
      </c>
      <c r="Z10">
        <v>521600</v>
      </c>
      <c r="AA10">
        <v>522967</v>
      </c>
      <c r="AB10">
        <v>517933</v>
      </c>
      <c r="AC10">
        <v>509633</v>
      </c>
      <c r="AD10">
        <v>503296</v>
      </c>
      <c r="AE10">
        <v>504996</v>
      </c>
      <c r="AF10">
        <v>511330</v>
      </c>
      <c r="AG10">
        <v>521000</v>
      </c>
      <c r="AH10">
        <v>527667</v>
      </c>
      <c r="AI10">
        <v>528000</v>
      </c>
      <c r="AJ10">
        <v>527667</v>
      </c>
      <c r="AK10">
        <v>529167</v>
      </c>
      <c r="AL10">
        <v>538833</v>
      </c>
      <c r="AM10">
        <v>547833</v>
      </c>
      <c r="AN10">
        <v>559663</v>
      </c>
      <c r="AO10">
        <v>568330</v>
      </c>
      <c r="AP10">
        <v>578330</v>
      </c>
      <c r="AQ10">
        <v>585000</v>
      </c>
      <c r="AR10">
        <v>593000</v>
      </c>
      <c r="AS10">
        <v>596494</v>
      </c>
      <c r="AT10">
        <v>593160</v>
      </c>
      <c r="AU10">
        <v>601827</v>
      </c>
      <c r="AV10">
        <v>611667</v>
      </c>
      <c r="AW10">
        <v>625000</v>
      </c>
      <c r="AX10">
        <v>625000</v>
      </c>
      <c r="AY10">
        <v>619967</v>
      </c>
    </row>
    <row r="11" spans="1:51" x14ac:dyDescent="0.25">
      <c r="A11">
        <v>395056</v>
      </c>
      <c r="B11" t="str">
        <f>IF(E11='Mortgage Calculator'!$H$8,"True","False")</f>
        <v>False</v>
      </c>
      <c r="C11">
        <v>17</v>
      </c>
      <c r="D11" t="s">
        <v>111</v>
      </c>
      <c r="E11" t="s">
        <v>253</v>
      </c>
      <c r="F11" t="s">
        <v>82</v>
      </c>
      <c r="G11" t="s">
        <v>85</v>
      </c>
      <c r="H11">
        <v>705982</v>
      </c>
      <c r="I11">
        <v>722648</v>
      </c>
      <c r="J11">
        <v>735982</v>
      </c>
      <c r="K11">
        <v>749333</v>
      </c>
      <c r="L11">
        <v>749592</v>
      </c>
      <c r="M11">
        <v>749592</v>
      </c>
      <c r="N11">
        <v>742592</v>
      </c>
      <c r="O11">
        <v>725967</v>
      </c>
      <c r="P11">
        <v>706267</v>
      </c>
      <c r="Q11">
        <v>689933</v>
      </c>
      <c r="R11">
        <v>681633</v>
      </c>
      <c r="S11">
        <v>676667</v>
      </c>
      <c r="T11">
        <v>676333</v>
      </c>
      <c r="U11">
        <v>681333</v>
      </c>
      <c r="V11">
        <v>693000</v>
      </c>
      <c r="W11">
        <v>713167</v>
      </c>
      <c r="X11">
        <v>732833</v>
      </c>
      <c r="Y11">
        <v>745833</v>
      </c>
      <c r="Z11">
        <v>746000</v>
      </c>
      <c r="AA11">
        <v>746000</v>
      </c>
      <c r="AB11">
        <v>746000</v>
      </c>
      <c r="AC11">
        <v>745667</v>
      </c>
      <c r="AD11">
        <v>742633</v>
      </c>
      <c r="AE11">
        <v>742633</v>
      </c>
      <c r="AF11">
        <v>745967</v>
      </c>
      <c r="AG11">
        <v>755667</v>
      </c>
      <c r="AH11">
        <v>769333</v>
      </c>
      <c r="AI11">
        <v>769633</v>
      </c>
      <c r="AJ11">
        <v>769133</v>
      </c>
      <c r="AK11">
        <v>780767</v>
      </c>
      <c r="AL11">
        <v>814100</v>
      </c>
      <c r="AM11">
        <v>836600</v>
      </c>
      <c r="AN11">
        <v>834300</v>
      </c>
      <c r="AO11">
        <v>821667</v>
      </c>
      <c r="AP11">
        <v>809667</v>
      </c>
      <c r="AQ11">
        <v>808667</v>
      </c>
      <c r="AR11">
        <v>813000</v>
      </c>
      <c r="AS11">
        <v>833000</v>
      </c>
      <c r="AT11">
        <v>844667</v>
      </c>
      <c r="AU11">
        <v>859633</v>
      </c>
      <c r="AV11">
        <v>856633</v>
      </c>
      <c r="AW11">
        <v>856467</v>
      </c>
      <c r="AX11">
        <v>849500</v>
      </c>
      <c r="AY11">
        <v>847833</v>
      </c>
    </row>
    <row r="12" spans="1:51" x14ac:dyDescent="0.25">
      <c r="A12">
        <v>395057</v>
      </c>
      <c r="B12" t="str">
        <f>IF(E12='Mortgage Calculator'!$H$8,"True","False")</f>
        <v>False</v>
      </c>
      <c r="C12">
        <v>11</v>
      </c>
      <c r="D12" t="s">
        <v>101</v>
      </c>
      <c r="E12" t="s">
        <v>247</v>
      </c>
      <c r="F12" t="s">
        <v>82</v>
      </c>
      <c r="G12" t="s">
        <v>85</v>
      </c>
      <c r="H12">
        <v>807667</v>
      </c>
      <c r="I12">
        <v>824333</v>
      </c>
      <c r="J12">
        <v>857667</v>
      </c>
      <c r="K12">
        <v>899667</v>
      </c>
      <c r="L12">
        <v>924667</v>
      </c>
      <c r="M12">
        <v>937667</v>
      </c>
      <c r="N12">
        <v>921000</v>
      </c>
      <c r="O12">
        <v>880333</v>
      </c>
      <c r="P12">
        <v>850667</v>
      </c>
      <c r="Q12">
        <v>842317</v>
      </c>
      <c r="R12">
        <v>837983</v>
      </c>
      <c r="S12">
        <v>819983</v>
      </c>
      <c r="T12">
        <v>799667</v>
      </c>
      <c r="U12">
        <v>803000</v>
      </c>
      <c r="V12">
        <v>831000</v>
      </c>
      <c r="W12">
        <v>867633</v>
      </c>
      <c r="X12">
        <v>900966</v>
      </c>
      <c r="Y12">
        <v>907929</v>
      </c>
      <c r="Z12">
        <v>904629</v>
      </c>
      <c r="AA12">
        <v>885963</v>
      </c>
      <c r="AB12">
        <v>885667</v>
      </c>
      <c r="AC12">
        <v>889000</v>
      </c>
      <c r="AD12">
        <v>895667</v>
      </c>
      <c r="AE12">
        <v>879000</v>
      </c>
      <c r="AF12">
        <v>862333</v>
      </c>
      <c r="AG12">
        <v>874333</v>
      </c>
      <c r="AH12">
        <v>899667</v>
      </c>
      <c r="AI12">
        <v>916333</v>
      </c>
      <c r="AJ12">
        <v>924667</v>
      </c>
      <c r="AK12">
        <v>949000</v>
      </c>
      <c r="AL12">
        <v>982333</v>
      </c>
      <c r="AM12">
        <v>998333</v>
      </c>
      <c r="AN12">
        <v>998667</v>
      </c>
      <c r="AO12">
        <v>998667</v>
      </c>
      <c r="AP12">
        <v>998667</v>
      </c>
      <c r="AQ12">
        <v>995296</v>
      </c>
      <c r="AR12">
        <v>990809</v>
      </c>
      <c r="AS12">
        <v>987475</v>
      </c>
      <c r="AT12">
        <v>987179</v>
      </c>
      <c r="AU12">
        <v>990333</v>
      </c>
      <c r="AV12">
        <v>992667</v>
      </c>
      <c r="AW12">
        <v>995000</v>
      </c>
      <c r="AX12">
        <v>980000</v>
      </c>
      <c r="AY12">
        <v>958000</v>
      </c>
    </row>
    <row r="13" spans="1:51" x14ac:dyDescent="0.25">
      <c r="A13">
        <v>395059</v>
      </c>
      <c r="B13" t="str">
        <f>IF(E13='Mortgage Calculator'!$H$8,"True","False")</f>
        <v>False</v>
      </c>
      <c r="C13">
        <v>34</v>
      </c>
      <c r="D13" t="s">
        <v>136</v>
      </c>
      <c r="E13" t="s">
        <v>270</v>
      </c>
      <c r="F13" t="s">
        <v>82</v>
      </c>
      <c r="G13" t="s">
        <v>85</v>
      </c>
      <c r="H13">
        <v>1071296</v>
      </c>
      <c r="I13">
        <v>1104629</v>
      </c>
      <c r="J13">
        <v>1154629</v>
      </c>
      <c r="K13">
        <v>1208333</v>
      </c>
      <c r="L13">
        <v>1245000</v>
      </c>
      <c r="M13">
        <v>1261500</v>
      </c>
      <c r="N13">
        <v>1244500</v>
      </c>
      <c r="O13">
        <v>1199463</v>
      </c>
      <c r="P13">
        <v>1149629</v>
      </c>
      <c r="Q13">
        <v>1115963</v>
      </c>
      <c r="R13">
        <v>1082633</v>
      </c>
      <c r="S13">
        <v>1048633</v>
      </c>
      <c r="T13">
        <v>1015596</v>
      </c>
      <c r="U13">
        <v>1031963</v>
      </c>
      <c r="V13">
        <v>1065963</v>
      </c>
      <c r="W13">
        <v>1113000</v>
      </c>
      <c r="X13">
        <v>1139333</v>
      </c>
      <c r="Y13">
        <v>1156000</v>
      </c>
      <c r="Z13">
        <v>1142667</v>
      </c>
      <c r="AA13">
        <v>1116333</v>
      </c>
      <c r="AB13">
        <v>1099650</v>
      </c>
      <c r="AC13">
        <v>1099317</v>
      </c>
      <c r="AD13">
        <v>1095983</v>
      </c>
      <c r="AE13">
        <v>1071293</v>
      </c>
      <c r="AF13">
        <v>1070960</v>
      </c>
      <c r="AG13">
        <v>1104627</v>
      </c>
      <c r="AH13">
        <v>1162650</v>
      </c>
      <c r="AI13">
        <v>1188317</v>
      </c>
      <c r="AJ13">
        <v>1191317</v>
      </c>
      <c r="AK13">
        <v>1208000</v>
      </c>
      <c r="AL13">
        <v>1237451</v>
      </c>
      <c r="AM13">
        <v>1254451</v>
      </c>
      <c r="AN13">
        <v>1254117</v>
      </c>
      <c r="AO13">
        <v>1243000</v>
      </c>
      <c r="AP13">
        <v>1242983</v>
      </c>
      <c r="AQ13">
        <v>1226317</v>
      </c>
      <c r="AR13">
        <v>1215983</v>
      </c>
      <c r="AS13">
        <v>1215967</v>
      </c>
      <c r="AT13">
        <v>1232967</v>
      </c>
      <c r="AU13">
        <v>1249967</v>
      </c>
      <c r="AV13">
        <v>1266629</v>
      </c>
      <c r="AW13">
        <v>1283259</v>
      </c>
      <c r="AX13">
        <v>1285925</v>
      </c>
      <c r="AY13">
        <v>1268925</v>
      </c>
    </row>
    <row r="14" spans="1:51" x14ac:dyDescent="0.25">
      <c r="A14">
        <v>395134</v>
      </c>
      <c r="B14" t="str">
        <f>IF(E14='Mortgage Calculator'!$H$8,"True","False")</f>
        <v>False</v>
      </c>
      <c r="C14">
        <v>77</v>
      </c>
      <c r="D14" t="s">
        <v>194</v>
      </c>
      <c r="E14" t="s">
        <v>313</v>
      </c>
      <c r="F14" t="s">
        <v>82</v>
      </c>
      <c r="G14" t="s">
        <v>85</v>
      </c>
      <c r="H14">
        <v>362117</v>
      </c>
      <c r="I14">
        <v>363985</v>
      </c>
      <c r="J14">
        <v>362434</v>
      </c>
      <c r="K14">
        <v>364017</v>
      </c>
      <c r="L14">
        <v>364982</v>
      </c>
      <c r="M14">
        <v>371314</v>
      </c>
      <c r="N14">
        <v>372896</v>
      </c>
      <c r="O14">
        <v>371963</v>
      </c>
      <c r="P14">
        <v>368761</v>
      </c>
      <c r="Q14">
        <v>365279</v>
      </c>
      <c r="R14">
        <v>363380</v>
      </c>
      <c r="S14">
        <v>361833</v>
      </c>
      <c r="T14">
        <v>358983</v>
      </c>
      <c r="U14">
        <v>357717</v>
      </c>
      <c r="V14">
        <v>360566</v>
      </c>
      <c r="W14">
        <v>373229</v>
      </c>
      <c r="X14">
        <v>388740</v>
      </c>
      <c r="Y14">
        <v>401403</v>
      </c>
      <c r="Z14">
        <v>409317</v>
      </c>
      <c r="AA14">
        <v>415174</v>
      </c>
      <c r="AB14">
        <v>417057</v>
      </c>
      <c r="AC14">
        <v>415404</v>
      </c>
      <c r="AD14">
        <v>414596</v>
      </c>
      <c r="AE14">
        <v>416037</v>
      </c>
      <c r="AF14">
        <v>414493</v>
      </c>
      <c r="AG14">
        <v>412644</v>
      </c>
      <c r="AH14">
        <v>412486</v>
      </c>
      <c r="AI14">
        <v>414085</v>
      </c>
      <c r="AJ14">
        <v>415633</v>
      </c>
      <c r="AK14">
        <v>421964</v>
      </c>
      <c r="AL14">
        <v>432743</v>
      </c>
      <c r="AM14">
        <v>445405</v>
      </c>
      <c r="AN14">
        <v>450470</v>
      </c>
      <c r="AO14">
        <v>452370</v>
      </c>
      <c r="AP14">
        <v>449521</v>
      </c>
      <c r="AQ14">
        <v>451259</v>
      </c>
      <c r="AR14">
        <v>454057</v>
      </c>
      <c r="AS14">
        <v>466939</v>
      </c>
      <c r="AT14">
        <v>473167</v>
      </c>
      <c r="AU14">
        <v>486633</v>
      </c>
      <c r="AV14">
        <v>491633</v>
      </c>
      <c r="AW14">
        <v>515267</v>
      </c>
      <c r="AX14">
        <v>531967</v>
      </c>
      <c r="AY14">
        <v>548633</v>
      </c>
    </row>
    <row r="15" spans="1:51" x14ac:dyDescent="0.25">
      <c r="A15">
        <v>394952</v>
      </c>
      <c r="B15" t="str">
        <f>IF(E15='Mortgage Calculator'!$H$8,"True","False")</f>
        <v>False</v>
      </c>
      <c r="C15">
        <v>66</v>
      </c>
      <c r="D15" t="s">
        <v>182</v>
      </c>
      <c r="E15" t="s">
        <v>302</v>
      </c>
      <c r="F15" t="s">
        <v>82</v>
      </c>
      <c r="G15" t="s">
        <v>85</v>
      </c>
      <c r="H15">
        <v>779650</v>
      </c>
      <c r="I15">
        <v>780983</v>
      </c>
      <c r="J15">
        <v>777650</v>
      </c>
      <c r="K15">
        <v>785667</v>
      </c>
      <c r="L15">
        <v>779319</v>
      </c>
      <c r="M15">
        <v>772652</v>
      </c>
      <c r="N15">
        <v>756319</v>
      </c>
      <c r="O15">
        <v>747945</v>
      </c>
      <c r="P15">
        <v>728262</v>
      </c>
      <c r="Q15">
        <v>711562</v>
      </c>
      <c r="R15">
        <v>696283</v>
      </c>
      <c r="S15">
        <v>689600</v>
      </c>
      <c r="T15">
        <v>687283</v>
      </c>
      <c r="U15">
        <v>690617</v>
      </c>
      <c r="V15">
        <v>700317</v>
      </c>
      <c r="W15">
        <v>712333</v>
      </c>
      <c r="X15">
        <v>725667</v>
      </c>
      <c r="Y15">
        <v>739300</v>
      </c>
      <c r="Z15">
        <v>749633</v>
      </c>
      <c r="AA15">
        <v>761633</v>
      </c>
      <c r="AB15">
        <v>774667</v>
      </c>
      <c r="AC15">
        <v>784633</v>
      </c>
      <c r="AD15">
        <v>784600</v>
      </c>
      <c r="AE15">
        <v>781267</v>
      </c>
      <c r="AF15">
        <v>782967</v>
      </c>
      <c r="AG15">
        <v>796333</v>
      </c>
      <c r="AH15">
        <v>813333</v>
      </c>
      <c r="AI15">
        <v>810000</v>
      </c>
      <c r="AJ15">
        <v>804667</v>
      </c>
      <c r="AK15">
        <v>808000</v>
      </c>
      <c r="AL15">
        <v>832666</v>
      </c>
      <c r="AM15">
        <v>856333</v>
      </c>
      <c r="AN15">
        <v>868000</v>
      </c>
      <c r="AO15">
        <v>871583</v>
      </c>
      <c r="AP15">
        <v>864883</v>
      </c>
      <c r="AQ15">
        <v>864883</v>
      </c>
    </row>
    <row r="16" spans="1:51" x14ac:dyDescent="0.25">
      <c r="A16">
        <v>394484</v>
      </c>
      <c r="B16" t="str">
        <f>IF(E16='Mortgage Calculator'!$H$8,"True","False")</f>
        <v>False</v>
      </c>
      <c r="C16">
        <v>80</v>
      </c>
      <c r="D16" t="s">
        <v>197</v>
      </c>
      <c r="E16" t="s">
        <v>316</v>
      </c>
      <c r="F16" t="s">
        <v>82</v>
      </c>
      <c r="G16" t="s">
        <v>118</v>
      </c>
      <c r="H16">
        <v>480742</v>
      </c>
      <c r="I16">
        <v>478922</v>
      </c>
      <c r="J16">
        <v>474555</v>
      </c>
      <c r="K16">
        <v>470916</v>
      </c>
      <c r="L16">
        <v>469060</v>
      </c>
      <c r="M16">
        <v>456286</v>
      </c>
      <c r="N16">
        <v>440274</v>
      </c>
      <c r="O16">
        <v>423206</v>
      </c>
      <c r="P16">
        <v>414144</v>
      </c>
      <c r="Q16">
        <v>410505</v>
      </c>
      <c r="R16">
        <v>409413</v>
      </c>
      <c r="S16">
        <v>409413</v>
      </c>
      <c r="T16">
        <v>416119</v>
      </c>
      <c r="U16">
        <v>425181</v>
      </c>
      <c r="V16">
        <v>439738</v>
      </c>
      <c r="W16">
        <v>447588</v>
      </c>
      <c r="X16">
        <v>456686</v>
      </c>
      <c r="Y16">
        <v>462145</v>
      </c>
      <c r="Z16">
        <v>472980</v>
      </c>
      <c r="AA16">
        <v>474800</v>
      </c>
      <c r="AB16">
        <v>474436</v>
      </c>
      <c r="AC16">
        <v>469024</v>
      </c>
      <c r="AD16">
        <v>470843</v>
      </c>
      <c r="AE16">
        <v>469388</v>
      </c>
      <c r="AF16">
        <v>467604</v>
      </c>
      <c r="AG16">
        <v>464169</v>
      </c>
      <c r="AH16">
        <v>470538</v>
      </c>
      <c r="AI16">
        <v>478606</v>
      </c>
      <c r="AJ16">
        <v>487536</v>
      </c>
      <c r="AK16">
        <v>490266</v>
      </c>
      <c r="AL16">
        <v>494935</v>
      </c>
      <c r="AM16">
        <v>494899</v>
      </c>
      <c r="AN16">
        <v>489440</v>
      </c>
      <c r="AO16">
        <v>478850</v>
      </c>
      <c r="AP16">
        <v>473186</v>
      </c>
      <c r="AQ16">
        <v>472005</v>
      </c>
    </row>
    <row r="17" spans="1:51" x14ac:dyDescent="0.25">
      <c r="A17">
        <v>394530</v>
      </c>
      <c r="B17" t="str">
        <f>IF(E17='Mortgage Calculator'!$H$8,"True","False")</f>
        <v>False</v>
      </c>
      <c r="C17">
        <v>21</v>
      </c>
      <c r="D17" t="s">
        <v>117</v>
      </c>
      <c r="E17" t="s">
        <v>257</v>
      </c>
      <c r="F17" t="s">
        <v>82</v>
      </c>
      <c r="G17" t="s">
        <v>118</v>
      </c>
      <c r="P17">
        <v>494667</v>
      </c>
      <c r="Q17">
        <v>487667</v>
      </c>
      <c r="R17">
        <v>481000</v>
      </c>
      <c r="S17">
        <v>477767</v>
      </c>
      <c r="T17">
        <v>481438</v>
      </c>
      <c r="U17">
        <v>493028</v>
      </c>
      <c r="V17">
        <v>508261</v>
      </c>
      <c r="W17">
        <v>519924</v>
      </c>
      <c r="X17">
        <v>523667</v>
      </c>
      <c r="Y17">
        <v>522000</v>
      </c>
      <c r="Z17">
        <v>517000</v>
      </c>
      <c r="AA17">
        <v>509967</v>
      </c>
      <c r="AB17">
        <v>502967</v>
      </c>
      <c r="AC17">
        <v>497967</v>
      </c>
      <c r="AD17">
        <v>497967</v>
      </c>
      <c r="AE17">
        <v>501160</v>
      </c>
      <c r="AF17">
        <v>511810</v>
      </c>
      <c r="AG17">
        <v>528477</v>
      </c>
      <c r="AH17">
        <v>542283</v>
      </c>
      <c r="AI17">
        <v>545486</v>
      </c>
      <c r="AJ17">
        <v>542186</v>
      </c>
      <c r="AK17">
        <v>542186</v>
      </c>
      <c r="AL17">
        <v>548333</v>
      </c>
      <c r="AM17">
        <v>551667</v>
      </c>
      <c r="AN17">
        <v>545598</v>
      </c>
      <c r="AO17">
        <v>533932</v>
      </c>
      <c r="AP17">
        <v>525265</v>
      </c>
      <c r="AQ17">
        <v>526333</v>
      </c>
      <c r="AR17">
        <v>534333</v>
      </c>
      <c r="AS17">
        <v>548000</v>
      </c>
      <c r="AT17">
        <v>562833</v>
      </c>
      <c r="AU17">
        <v>580220</v>
      </c>
      <c r="AV17">
        <v>596887</v>
      </c>
      <c r="AW17">
        <v>612020</v>
      </c>
      <c r="AX17">
        <v>620916</v>
      </c>
      <c r="AY17">
        <v>622583</v>
      </c>
    </row>
    <row r="18" spans="1:51" x14ac:dyDescent="0.25">
      <c r="A18">
        <v>394602</v>
      </c>
      <c r="B18" t="str">
        <f>IF(E18='Mortgage Calculator'!$H$8,"True","False")</f>
        <v>False</v>
      </c>
      <c r="C18">
        <v>159</v>
      </c>
      <c r="D18" t="s">
        <v>214</v>
      </c>
      <c r="E18" t="s">
        <v>330</v>
      </c>
      <c r="F18" t="s">
        <v>82</v>
      </c>
      <c r="G18" t="s">
        <v>118</v>
      </c>
      <c r="H18">
        <v>432336</v>
      </c>
      <c r="I18">
        <v>435313</v>
      </c>
      <c r="J18">
        <v>437741</v>
      </c>
      <c r="K18">
        <v>439401</v>
      </c>
      <c r="L18">
        <v>443469</v>
      </c>
      <c r="M18">
        <v>447470</v>
      </c>
      <c r="N18">
        <v>445843</v>
      </c>
      <c r="O18">
        <v>442718</v>
      </c>
      <c r="P18">
        <v>436374</v>
      </c>
      <c r="Q18">
        <v>433119</v>
      </c>
      <c r="R18">
        <v>429235</v>
      </c>
      <c r="S18">
        <v>426696</v>
      </c>
      <c r="T18">
        <v>425069</v>
      </c>
      <c r="U18">
        <v>426056</v>
      </c>
      <c r="V18">
        <v>428982</v>
      </c>
      <c r="W18">
        <v>431407</v>
      </c>
      <c r="X18">
        <v>434954</v>
      </c>
      <c r="Y18">
        <v>436878</v>
      </c>
      <c r="Z18">
        <v>436064</v>
      </c>
      <c r="AA18">
        <v>431198</v>
      </c>
      <c r="AB18">
        <v>426349</v>
      </c>
      <c r="AC18">
        <v>424738</v>
      </c>
      <c r="AD18">
        <v>425418</v>
      </c>
      <c r="AE18">
        <v>425490</v>
      </c>
      <c r="AF18">
        <v>429688</v>
      </c>
      <c r="AG18">
        <v>436575</v>
      </c>
      <c r="AH18">
        <v>447487</v>
      </c>
      <c r="AI18">
        <v>453022</v>
      </c>
      <c r="AJ18">
        <v>455235</v>
      </c>
      <c r="AK18">
        <v>458230</v>
      </c>
      <c r="AL18">
        <v>462819</v>
      </c>
      <c r="AM18">
        <v>466074</v>
      </c>
      <c r="AN18">
        <v>461859</v>
      </c>
      <c r="AO18">
        <v>456832</v>
      </c>
      <c r="AP18">
        <v>454228</v>
      </c>
      <c r="AQ18">
        <v>455855</v>
      </c>
    </row>
    <row r="19" spans="1:51" x14ac:dyDescent="0.25">
      <c r="A19">
        <v>394669</v>
      </c>
      <c r="B19" t="str">
        <f>IF(E19='Mortgage Calculator'!$H$8,"True","False")</f>
        <v>False</v>
      </c>
      <c r="C19">
        <v>44</v>
      </c>
      <c r="D19" t="s">
        <v>152</v>
      </c>
      <c r="E19" t="s">
        <v>280</v>
      </c>
      <c r="F19" t="s">
        <v>82</v>
      </c>
      <c r="G19" t="s">
        <v>153</v>
      </c>
      <c r="H19">
        <v>267870</v>
      </c>
      <c r="I19">
        <v>272167</v>
      </c>
      <c r="J19">
        <v>280467</v>
      </c>
      <c r="K19">
        <v>286267</v>
      </c>
      <c r="L19">
        <v>289900</v>
      </c>
      <c r="M19">
        <v>289933</v>
      </c>
      <c r="N19">
        <v>289933</v>
      </c>
      <c r="O19">
        <v>289633</v>
      </c>
      <c r="P19">
        <v>287933</v>
      </c>
      <c r="Q19">
        <v>286267</v>
      </c>
      <c r="R19">
        <v>283233</v>
      </c>
      <c r="S19">
        <v>281567</v>
      </c>
      <c r="T19">
        <v>279900</v>
      </c>
      <c r="U19">
        <v>281600</v>
      </c>
      <c r="V19">
        <v>284967</v>
      </c>
      <c r="W19">
        <v>291633</v>
      </c>
      <c r="X19">
        <v>296600</v>
      </c>
      <c r="Y19">
        <v>302567</v>
      </c>
      <c r="Z19">
        <v>302567</v>
      </c>
      <c r="AA19">
        <v>302267</v>
      </c>
      <c r="AB19">
        <v>298633</v>
      </c>
      <c r="AC19">
        <v>296567</v>
      </c>
      <c r="AD19">
        <v>293533</v>
      </c>
      <c r="AE19">
        <v>290867</v>
      </c>
      <c r="AF19">
        <v>288933</v>
      </c>
      <c r="AG19">
        <v>288967</v>
      </c>
      <c r="AH19">
        <v>294933</v>
      </c>
      <c r="AI19">
        <v>302267</v>
      </c>
      <c r="AJ19">
        <v>312267</v>
      </c>
      <c r="AK19">
        <v>319933</v>
      </c>
      <c r="AL19">
        <v>329933</v>
      </c>
      <c r="AM19">
        <v>336567</v>
      </c>
      <c r="AN19">
        <v>336567</v>
      </c>
      <c r="AO19">
        <v>333233</v>
      </c>
      <c r="AP19">
        <v>328267</v>
      </c>
      <c r="AQ19">
        <v>325300</v>
      </c>
      <c r="AR19">
        <v>325333</v>
      </c>
      <c r="AS19">
        <v>330300</v>
      </c>
      <c r="AT19">
        <v>339933</v>
      </c>
      <c r="AU19">
        <v>348233</v>
      </c>
      <c r="AV19">
        <v>351567</v>
      </c>
      <c r="AW19">
        <v>347933</v>
      </c>
      <c r="AX19">
        <v>339600</v>
      </c>
      <c r="AY19">
        <v>331300</v>
      </c>
    </row>
    <row r="20" spans="1:51" x14ac:dyDescent="0.25">
      <c r="A20">
        <v>394908</v>
      </c>
      <c r="B20" t="str">
        <f>IF(E20='Mortgage Calculator'!$H$8,"True","False")</f>
        <v>False</v>
      </c>
      <c r="C20">
        <v>62</v>
      </c>
      <c r="D20" t="s">
        <v>177</v>
      </c>
      <c r="E20" t="s">
        <v>298</v>
      </c>
      <c r="F20" t="s">
        <v>82</v>
      </c>
      <c r="G20" t="s">
        <v>153</v>
      </c>
      <c r="H20">
        <v>284225</v>
      </c>
      <c r="I20">
        <v>290887</v>
      </c>
      <c r="J20">
        <v>301038</v>
      </c>
      <c r="K20">
        <v>312898</v>
      </c>
      <c r="L20">
        <v>321270</v>
      </c>
      <c r="M20">
        <v>326851</v>
      </c>
      <c r="N20">
        <v>327165</v>
      </c>
      <c r="O20">
        <v>322630</v>
      </c>
      <c r="P20">
        <v>317363</v>
      </c>
      <c r="Q20">
        <v>313561</v>
      </c>
      <c r="R20">
        <v>310073</v>
      </c>
      <c r="S20">
        <v>304875</v>
      </c>
      <c r="T20">
        <v>301003</v>
      </c>
      <c r="U20">
        <v>302713</v>
      </c>
      <c r="V20">
        <v>309652</v>
      </c>
      <c r="W20">
        <v>319106</v>
      </c>
      <c r="X20">
        <v>324338</v>
      </c>
      <c r="Y20">
        <v>324375</v>
      </c>
      <c r="Z20">
        <v>319107</v>
      </c>
      <c r="AA20">
        <v>313908</v>
      </c>
      <c r="AB20">
        <v>308641</v>
      </c>
      <c r="AC20">
        <v>305153</v>
      </c>
      <c r="AD20">
        <v>303061</v>
      </c>
      <c r="AE20">
        <v>301627</v>
      </c>
      <c r="AF20">
        <v>299883</v>
      </c>
      <c r="AG20">
        <v>299883</v>
      </c>
      <c r="AH20">
        <v>304805</v>
      </c>
      <c r="AI20">
        <v>310038</v>
      </c>
      <c r="AJ20">
        <v>320852</v>
      </c>
      <c r="AK20">
        <v>331002</v>
      </c>
      <c r="AL20">
        <v>344956</v>
      </c>
      <c r="AM20">
        <v>350118</v>
      </c>
      <c r="AN20">
        <v>348723</v>
      </c>
      <c r="AO20">
        <v>341746</v>
      </c>
      <c r="AP20">
        <v>335537</v>
      </c>
      <c r="AQ20">
        <v>326816</v>
      </c>
      <c r="AR20">
        <v>320193</v>
      </c>
      <c r="AS20">
        <v>317915</v>
      </c>
      <c r="AT20">
        <v>323267</v>
      </c>
      <c r="AU20">
        <v>337967</v>
      </c>
      <c r="AV20">
        <v>349633</v>
      </c>
      <c r="AW20">
        <v>355967</v>
      </c>
      <c r="AX20">
        <v>349600</v>
      </c>
      <c r="AY20">
        <v>342167</v>
      </c>
    </row>
    <row r="21" spans="1:51" x14ac:dyDescent="0.25">
      <c r="A21">
        <v>394415</v>
      </c>
      <c r="B21" t="str">
        <f>IF(E21='Mortgage Calculator'!$H$8,"True","False")</f>
        <v>False</v>
      </c>
      <c r="C21">
        <v>58</v>
      </c>
      <c r="D21" t="s">
        <v>171</v>
      </c>
      <c r="E21" t="s">
        <v>294</v>
      </c>
      <c r="F21" t="s">
        <v>82</v>
      </c>
      <c r="G21" t="s">
        <v>153</v>
      </c>
      <c r="H21">
        <v>678876</v>
      </c>
      <c r="I21">
        <v>714039</v>
      </c>
      <c r="J21">
        <v>756446</v>
      </c>
      <c r="K21">
        <v>780126</v>
      </c>
      <c r="L21">
        <v>786628</v>
      </c>
      <c r="M21">
        <v>783094</v>
      </c>
      <c r="N21">
        <v>770725</v>
      </c>
      <c r="O21">
        <v>754151</v>
      </c>
      <c r="P21">
        <v>741428</v>
      </c>
      <c r="Q21">
        <v>741075</v>
      </c>
      <c r="R21">
        <v>737541</v>
      </c>
      <c r="S21">
        <v>734325</v>
      </c>
      <c r="T21">
        <v>731110</v>
      </c>
      <c r="U21">
        <v>734962</v>
      </c>
      <c r="V21">
        <v>747366</v>
      </c>
      <c r="W21">
        <v>761184</v>
      </c>
      <c r="X21">
        <v>768287</v>
      </c>
      <c r="Y21">
        <v>759099</v>
      </c>
      <c r="Z21">
        <v>741605</v>
      </c>
      <c r="AA21">
        <v>716868</v>
      </c>
      <c r="AB21">
        <v>700435</v>
      </c>
      <c r="AC21">
        <v>695310</v>
      </c>
      <c r="AD21">
        <v>700611</v>
      </c>
      <c r="AE21">
        <v>703262</v>
      </c>
      <c r="AF21">
        <v>706442</v>
      </c>
      <c r="AG21">
        <v>717044</v>
      </c>
      <c r="AH21">
        <v>730827</v>
      </c>
      <c r="AI21">
        <v>738248</v>
      </c>
      <c r="AJ21">
        <v>748497</v>
      </c>
      <c r="AK21">
        <v>766167</v>
      </c>
      <c r="AL21">
        <v>785250</v>
      </c>
      <c r="AM21">
        <v>790551</v>
      </c>
      <c r="AN21">
        <v>782034</v>
      </c>
      <c r="AO21">
        <v>771432</v>
      </c>
      <c r="AP21">
        <v>757296</v>
      </c>
      <c r="AQ21">
        <v>750264</v>
      </c>
      <c r="AR21">
        <v>746137</v>
      </c>
      <c r="AS21">
        <v>782112</v>
      </c>
      <c r="AT21">
        <v>811300</v>
      </c>
      <c r="AU21">
        <v>827667</v>
      </c>
      <c r="AV21">
        <v>816333</v>
      </c>
      <c r="AW21">
        <v>801300</v>
      </c>
      <c r="AX21">
        <v>777967</v>
      </c>
      <c r="AY21">
        <v>732633</v>
      </c>
    </row>
    <row r="22" spans="1:51" x14ac:dyDescent="0.25">
      <c r="A22">
        <v>395209</v>
      </c>
      <c r="B22" t="str">
        <f>IF(E22='Mortgage Calculator'!$H$8,"True","False")</f>
        <v>False</v>
      </c>
      <c r="C22">
        <v>7</v>
      </c>
      <c r="D22" t="s">
        <v>93</v>
      </c>
      <c r="E22" t="s">
        <v>243</v>
      </c>
      <c r="F22" t="s">
        <v>82</v>
      </c>
      <c r="G22" t="s">
        <v>94</v>
      </c>
      <c r="H22">
        <v>431504</v>
      </c>
      <c r="I22">
        <v>431174</v>
      </c>
      <c r="J22">
        <v>441289</v>
      </c>
      <c r="K22">
        <v>452445</v>
      </c>
      <c r="L22">
        <v>464445</v>
      </c>
      <c r="M22">
        <v>474667</v>
      </c>
      <c r="N22">
        <v>479667</v>
      </c>
      <c r="O22">
        <v>476333</v>
      </c>
      <c r="P22">
        <v>466663</v>
      </c>
      <c r="Q22">
        <v>461630</v>
      </c>
      <c r="R22">
        <v>456597</v>
      </c>
      <c r="S22">
        <v>449900</v>
      </c>
      <c r="T22">
        <v>443233</v>
      </c>
      <c r="U22">
        <v>443267</v>
      </c>
      <c r="V22">
        <v>454967</v>
      </c>
      <c r="W22">
        <v>471667</v>
      </c>
      <c r="X22">
        <v>488065</v>
      </c>
      <c r="Y22">
        <v>496065</v>
      </c>
      <c r="Z22">
        <v>495732</v>
      </c>
      <c r="AA22">
        <v>489300</v>
      </c>
      <c r="AB22">
        <v>484633</v>
      </c>
      <c r="AC22">
        <v>483300</v>
      </c>
      <c r="AD22">
        <v>485000</v>
      </c>
      <c r="AE22">
        <v>483300</v>
      </c>
      <c r="AF22">
        <v>481633</v>
      </c>
      <c r="AG22">
        <v>486600</v>
      </c>
      <c r="AH22">
        <v>501600</v>
      </c>
      <c r="AI22">
        <v>513233</v>
      </c>
      <c r="AJ22">
        <v>522933</v>
      </c>
      <c r="AK22">
        <v>531300</v>
      </c>
      <c r="AL22">
        <v>543000</v>
      </c>
      <c r="AM22">
        <v>549967</v>
      </c>
      <c r="AN22">
        <v>546633</v>
      </c>
      <c r="AO22">
        <v>539933</v>
      </c>
      <c r="AP22">
        <v>529967</v>
      </c>
      <c r="AQ22">
        <v>521933</v>
      </c>
      <c r="AR22">
        <v>514463</v>
      </c>
      <c r="AS22">
        <v>511097</v>
      </c>
      <c r="AT22">
        <v>509130</v>
      </c>
      <c r="AU22">
        <v>515283</v>
      </c>
      <c r="AV22">
        <v>521817</v>
      </c>
      <c r="AW22">
        <v>528450</v>
      </c>
      <c r="AX22">
        <v>526467</v>
      </c>
      <c r="AY22">
        <v>521600</v>
      </c>
    </row>
    <row r="23" spans="1:51" x14ac:dyDescent="0.25">
      <c r="A23">
        <v>394528</v>
      </c>
      <c r="B23" t="str">
        <f>IF(E23='Mortgage Calculator'!$H$8,"True","False")</f>
        <v>False</v>
      </c>
      <c r="C23">
        <v>90</v>
      </c>
      <c r="D23" t="s">
        <v>209</v>
      </c>
      <c r="E23" t="s">
        <v>326</v>
      </c>
      <c r="F23" t="s">
        <v>82</v>
      </c>
      <c r="G23" t="s">
        <v>96</v>
      </c>
      <c r="H23">
        <v>269567</v>
      </c>
      <c r="I23">
        <v>270297</v>
      </c>
      <c r="J23">
        <v>271764</v>
      </c>
      <c r="K23">
        <v>274764</v>
      </c>
      <c r="L23">
        <v>279434</v>
      </c>
      <c r="M23">
        <v>284333</v>
      </c>
      <c r="N23">
        <v>287633</v>
      </c>
      <c r="O23">
        <v>287267</v>
      </c>
      <c r="P23">
        <v>284217</v>
      </c>
      <c r="Q23">
        <v>280583</v>
      </c>
      <c r="R23">
        <v>277250</v>
      </c>
      <c r="S23">
        <v>275300</v>
      </c>
      <c r="T23">
        <v>274600</v>
      </c>
      <c r="U23">
        <v>274633</v>
      </c>
      <c r="V23">
        <v>276633</v>
      </c>
      <c r="W23">
        <v>280967</v>
      </c>
      <c r="X23">
        <v>285800</v>
      </c>
      <c r="Y23">
        <v>288797</v>
      </c>
      <c r="Z23">
        <v>287797</v>
      </c>
      <c r="AA23">
        <v>284597</v>
      </c>
      <c r="AB23">
        <v>280915</v>
      </c>
      <c r="AC23">
        <v>278148</v>
      </c>
      <c r="AD23">
        <v>277182</v>
      </c>
      <c r="AE23">
        <v>277533</v>
      </c>
      <c r="AF23">
        <v>278333</v>
      </c>
      <c r="AG23">
        <v>281000</v>
      </c>
      <c r="AH23">
        <v>283667</v>
      </c>
      <c r="AI23">
        <v>283967</v>
      </c>
      <c r="AJ23">
        <v>282630</v>
      </c>
      <c r="AK23">
        <v>281933</v>
      </c>
      <c r="AL23">
        <v>285133</v>
      </c>
      <c r="AM23">
        <v>287803</v>
      </c>
      <c r="AN23">
        <v>290163</v>
      </c>
      <c r="AO23">
        <v>290448</v>
      </c>
      <c r="AP23">
        <v>292081</v>
      </c>
      <c r="AQ23">
        <v>291694</v>
      </c>
      <c r="AR23">
        <v>293410</v>
      </c>
      <c r="AS23">
        <v>297110</v>
      </c>
      <c r="AT23">
        <v>303500</v>
      </c>
      <c r="AU23">
        <v>314333</v>
      </c>
      <c r="AV23">
        <v>324300</v>
      </c>
      <c r="AW23">
        <v>335267</v>
      </c>
      <c r="AX23">
        <v>340933</v>
      </c>
      <c r="AY23">
        <v>345630</v>
      </c>
    </row>
    <row r="24" spans="1:51" x14ac:dyDescent="0.25">
      <c r="A24">
        <v>394440</v>
      </c>
      <c r="B24" t="str">
        <f>IF(E24='Mortgage Calculator'!$H$8,"True","False")</f>
        <v>False</v>
      </c>
      <c r="C24">
        <v>84</v>
      </c>
      <c r="D24" t="s">
        <v>202</v>
      </c>
      <c r="E24" t="s">
        <v>320</v>
      </c>
      <c r="F24" t="s">
        <v>82</v>
      </c>
      <c r="G24" t="s">
        <v>96</v>
      </c>
      <c r="H24">
        <v>248436</v>
      </c>
      <c r="I24">
        <v>248464</v>
      </c>
      <c r="J24">
        <v>248464</v>
      </c>
      <c r="K24">
        <v>249541</v>
      </c>
      <c r="L24">
        <v>249513</v>
      </c>
      <c r="M24">
        <v>249485</v>
      </c>
      <c r="N24">
        <v>248381</v>
      </c>
      <c r="O24">
        <v>248133</v>
      </c>
      <c r="P24">
        <v>247884</v>
      </c>
      <c r="Q24">
        <v>247884</v>
      </c>
      <c r="R24">
        <v>247884</v>
      </c>
      <c r="S24">
        <v>246780</v>
      </c>
      <c r="T24">
        <v>246200</v>
      </c>
      <c r="U24">
        <v>246200</v>
      </c>
      <c r="V24">
        <v>247304</v>
      </c>
      <c r="W24">
        <v>247636</v>
      </c>
      <c r="X24">
        <v>247636</v>
      </c>
      <c r="Y24">
        <v>247636</v>
      </c>
      <c r="Z24">
        <v>247360</v>
      </c>
      <c r="AA24">
        <v>246255</v>
      </c>
      <c r="AB24">
        <v>245124</v>
      </c>
      <c r="AC24">
        <v>245516</v>
      </c>
      <c r="AD24">
        <v>246869</v>
      </c>
      <c r="AE24">
        <v>250485</v>
      </c>
      <c r="AF24">
        <v>253406</v>
      </c>
      <c r="AG24">
        <v>258927</v>
      </c>
      <c r="AH24">
        <v>263593</v>
      </c>
      <c r="AI24">
        <v>264697</v>
      </c>
      <c r="AJ24">
        <v>264697</v>
      </c>
      <c r="AK24">
        <v>265829</v>
      </c>
      <c r="AL24">
        <v>269970</v>
      </c>
      <c r="AM24">
        <v>271654</v>
      </c>
      <c r="AN24">
        <v>270550</v>
      </c>
      <c r="AO24">
        <v>270550</v>
      </c>
      <c r="AP24">
        <v>270964</v>
      </c>
      <c r="AQ24">
        <v>270964</v>
      </c>
    </row>
    <row r="25" spans="1:51" x14ac:dyDescent="0.25">
      <c r="A25">
        <v>394714</v>
      </c>
      <c r="B25" t="str">
        <f>IF(E25='Mortgage Calculator'!$H$8,"True","False")</f>
        <v>False</v>
      </c>
      <c r="C25">
        <v>40</v>
      </c>
      <c r="D25" t="s">
        <v>146</v>
      </c>
      <c r="E25" t="s">
        <v>276</v>
      </c>
      <c r="F25" t="s">
        <v>82</v>
      </c>
      <c r="G25" t="s">
        <v>96</v>
      </c>
      <c r="H25">
        <v>300963</v>
      </c>
      <c r="I25">
        <v>304930</v>
      </c>
      <c r="J25">
        <v>309963</v>
      </c>
      <c r="K25">
        <v>314633</v>
      </c>
      <c r="L25">
        <v>316333</v>
      </c>
      <c r="M25">
        <v>316300</v>
      </c>
      <c r="N25">
        <v>312967</v>
      </c>
      <c r="O25">
        <v>307966</v>
      </c>
      <c r="P25">
        <v>302666</v>
      </c>
      <c r="Q25">
        <v>298000</v>
      </c>
      <c r="R25">
        <v>296300</v>
      </c>
      <c r="S25">
        <v>296296</v>
      </c>
      <c r="T25">
        <v>296296</v>
      </c>
      <c r="U25">
        <v>297663</v>
      </c>
      <c r="V25">
        <v>299755</v>
      </c>
      <c r="W25">
        <v>304755</v>
      </c>
      <c r="X25">
        <v>311755</v>
      </c>
      <c r="Y25">
        <v>313997</v>
      </c>
      <c r="Z25">
        <v>310663</v>
      </c>
      <c r="AA25">
        <v>303963</v>
      </c>
      <c r="AB25">
        <v>299630</v>
      </c>
      <c r="AC25">
        <v>299297</v>
      </c>
      <c r="AD25">
        <v>298993</v>
      </c>
      <c r="AE25">
        <v>298163</v>
      </c>
      <c r="AF25">
        <v>298480</v>
      </c>
      <c r="AG25">
        <v>301813</v>
      </c>
      <c r="AH25">
        <v>306313</v>
      </c>
      <c r="AI25">
        <v>307163</v>
      </c>
      <c r="AJ25">
        <v>309133</v>
      </c>
      <c r="AK25">
        <v>312130</v>
      </c>
      <c r="AL25">
        <v>317830</v>
      </c>
      <c r="AM25">
        <v>319197</v>
      </c>
      <c r="AN25">
        <v>317867</v>
      </c>
      <c r="AO25">
        <v>314667</v>
      </c>
      <c r="AP25">
        <v>309333</v>
      </c>
      <c r="AQ25">
        <v>307333</v>
      </c>
      <c r="AR25">
        <v>307663</v>
      </c>
      <c r="AS25">
        <v>312393</v>
      </c>
      <c r="AT25">
        <v>318723</v>
      </c>
      <c r="AU25">
        <v>328393</v>
      </c>
      <c r="AV25">
        <v>339993</v>
      </c>
      <c r="AW25">
        <v>347330</v>
      </c>
      <c r="AX25">
        <v>350827</v>
      </c>
      <c r="AY25">
        <v>351830</v>
      </c>
    </row>
    <row r="26" spans="1:51" x14ac:dyDescent="0.25">
      <c r="A26">
        <v>394766</v>
      </c>
      <c r="B26" t="str">
        <f>IF(E26='Mortgage Calculator'!$H$8,"True","False")</f>
        <v>False</v>
      </c>
      <c r="C26">
        <v>88</v>
      </c>
      <c r="D26" t="s">
        <v>207</v>
      </c>
      <c r="E26" t="s">
        <v>324</v>
      </c>
      <c r="F26" t="s">
        <v>82</v>
      </c>
      <c r="G26" t="s">
        <v>96</v>
      </c>
      <c r="H26">
        <v>229496</v>
      </c>
      <c r="I26">
        <v>229875</v>
      </c>
      <c r="J26">
        <v>231490</v>
      </c>
      <c r="K26">
        <v>234926</v>
      </c>
      <c r="L26">
        <v>236645</v>
      </c>
      <c r="M26">
        <v>237126</v>
      </c>
      <c r="N26">
        <v>237126</v>
      </c>
      <c r="O26">
        <v>237091</v>
      </c>
      <c r="P26">
        <v>235682</v>
      </c>
      <c r="Q26">
        <v>233930</v>
      </c>
      <c r="R26">
        <v>231868</v>
      </c>
      <c r="S26">
        <v>231524</v>
      </c>
      <c r="T26">
        <v>231524</v>
      </c>
      <c r="U26">
        <v>231868</v>
      </c>
      <c r="V26">
        <v>231902</v>
      </c>
      <c r="W26">
        <v>233311</v>
      </c>
      <c r="X26">
        <v>236387</v>
      </c>
      <c r="Y26">
        <v>239102</v>
      </c>
      <c r="Z26">
        <v>240549</v>
      </c>
      <c r="AA26">
        <v>239985</v>
      </c>
      <c r="AB26">
        <v>239188</v>
      </c>
      <c r="AC26">
        <v>238085</v>
      </c>
      <c r="AD26">
        <v>237291</v>
      </c>
      <c r="AE26">
        <v>237088</v>
      </c>
      <c r="AF26">
        <v>237088</v>
      </c>
      <c r="AG26">
        <v>238840</v>
      </c>
      <c r="AH26">
        <v>240709</v>
      </c>
      <c r="AI26">
        <v>241739</v>
      </c>
      <c r="AJ26">
        <v>241568</v>
      </c>
      <c r="AK26">
        <v>241730</v>
      </c>
      <c r="AL26">
        <v>244133</v>
      </c>
      <c r="AM26">
        <v>246836</v>
      </c>
      <c r="AN26">
        <v>249963</v>
      </c>
      <c r="AO26">
        <v>251908</v>
      </c>
      <c r="AP26">
        <v>253071</v>
      </c>
      <c r="AQ26">
        <v>255017</v>
      </c>
      <c r="AR26">
        <v>257004</v>
      </c>
      <c r="AS26">
        <v>259346</v>
      </c>
      <c r="AT26">
        <v>263610</v>
      </c>
      <c r="AU26">
        <v>273837</v>
      </c>
      <c r="AV26">
        <v>286948</v>
      </c>
      <c r="AW26">
        <v>298590</v>
      </c>
      <c r="AX26">
        <v>303624</v>
      </c>
      <c r="AY26">
        <v>306715</v>
      </c>
    </row>
    <row r="27" spans="1:51" x14ac:dyDescent="0.25">
      <c r="A27">
        <v>394856</v>
      </c>
      <c r="B27" t="str">
        <f>IF(E27='Mortgage Calculator'!$H$8,"True","False")</f>
        <v>False</v>
      </c>
      <c r="C27">
        <v>8</v>
      </c>
      <c r="D27" t="s">
        <v>95</v>
      </c>
      <c r="E27" t="s">
        <v>244</v>
      </c>
      <c r="F27" t="s">
        <v>82</v>
      </c>
      <c r="G27" t="s">
        <v>96</v>
      </c>
      <c r="H27">
        <v>395000</v>
      </c>
      <c r="I27">
        <v>395000</v>
      </c>
      <c r="J27">
        <v>396333</v>
      </c>
      <c r="K27">
        <v>397833</v>
      </c>
      <c r="L27">
        <v>399467</v>
      </c>
      <c r="M27">
        <v>399800</v>
      </c>
      <c r="N27">
        <v>399933</v>
      </c>
      <c r="O27">
        <v>399633</v>
      </c>
      <c r="P27">
        <v>399300</v>
      </c>
      <c r="Q27">
        <v>399000</v>
      </c>
      <c r="R27">
        <v>398000</v>
      </c>
      <c r="S27">
        <v>396667</v>
      </c>
      <c r="T27">
        <v>395333</v>
      </c>
      <c r="U27">
        <v>395000</v>
      </c>
      <c r="V27">
        <v>396333</v>
      </c>
      <c r="W27">
        <v>397667</v>
      </c>
      <c r="X27">
        <v>399333</v>
      </c>
      <c r="Y27">
        <v>399666</v>
      </c>
      <c r="Z27">
        <v>402666</v>
      </c>
      <c r="AA27">
        <v>404333</v>
      </c>
      <c r="AB27">
        <v>404333</v>
      </c>
      <c r="AC27">
        <v>401667</v>
      </c>
      <c r="AD27">
        <v>400000</v>
      </c>
      <c r="AE27">
        <v>401624</v>
      </c>
      <c r="AF27">
        <v>401624</v>
      </c>
      <c r="AG27">
        <v>401624</v>
      </c>
      <c r="AH27">
        <v>401667</v>
      </c>
      <c r="AI27">
        <v>401333</v>
      </c>
      <c r="AJ27">
        <v>401000</v>
      </c>
      <c r="AK27">
        <v>399000</v>
      </c>
      <c r="AL27">
        <v>399333</v>
      </c>
      <c r="AM27">
        <v>401333</v>
      </c>
      <c r="AN27">
        <v>403633</v>
      </c>
      <c r="AO27">
        <v>406633</v>
      </c>
      <c r="AP27">
        <v>406633</v>
      </c>
      <c r="AQ27">
        <v>405633</v>
      </c>
      <c r="AR27">
        <v>402600</v>
      </c>
      <c r="AS27">
        <v>400900</v>
      </c>
      <c r="AT27">
        <v>401600</v>
      </c>
      <c r="AU27">
        <v>409967</v>
      </c>
      <c r="AV27">
        <v>425000</v>
      </c>
      <c r="AW27">
        <v>441667</v>
      </c>
      <c r="AX27">
        <v>456633</v>
      </c>
      <c r="AY27">
        <v>466633</v>
      </c>
    </row>
    <row r="28" spans="1:51" x14ac:dyDescent="0.25">
      <c r="A28">
        <v>753906</v>
      </c>
      <c r="B28" t="str">
        <f>IF(E28='Mortgage Calculator'!$H$8,"True","False")</f>
        <v>False</v>
      </c>
      <c r="C28">
        <v>75</v>
      </c>
      <c r="D28" t="s">
        <v>191</v>
      </c>
      <c r="E28" t="s">
        <v>311</v>
      </c>
      <c r="F28" t="s">
        <v>82</v>
      </c>
      <c r="G28" t="s">
        <v>96</v>
      </c>
      <c r="H28">
        <v>358063</v>
      </c>
      <c r="I28">
        <v>359467</v>
      </c>
      <c r="J28">
        <v>359800</v>
      </c>
      <c r="K28">
        <v>359633</v>
      </c>
      <c r="L28">
        <v>361633</v>
      </c>
      <c r="M28">
        <v>364933</v>
      </c>
      <c r="N28">
        <v>368567</v>
      </c>
      <c r="O28">
        <v>367933</v>
      </c>
      <c r="P28">
        <v>362967</v>
      </c>
      <c r="Q28">
        <v>358667</v>
      </c>
      <c r="R28">
        <v>355307</v>
      </c>
      <c r="S28">
        <v>353640</v>
      </c>
      <c r="T28">
        <v>354307</v>
      </c>
      <c r="U28">
        <v>356300</v>
      </c>
      <c r="V28">
        <v>361300</v>
      </c>
      <c r="W28">
        <v>366633</v>
      </c>
      <c r="X28">
        <v>372333</v>
      </c>
      <c r="Y28">
        <v>377300</v>
      </c>
      <c r="Z28">
        <v>377600</v>
      </c>
      <c r="AA28">
        <v>375267</v>
      </c>
      <c r="AB28">
        <v>371300</v>
      </c>
      <c r="AC28">
        <v>370667</v>
      </c>
      <c r="AD28">
        <v>373333</v>
      </c>
      <c r="AE28">
        <v>375667</v>
      </c>
      <c r="AF28">
        <v>376000</v>
      </c>
      <c r="AG28">
        <v>375000</v>
      </c>
      <c r="AH28">
        <v>375000</v>
      </c>
      <c r="AI28">
        <v>371333</v>
      </c>
      <c r="AJ28">
        <v>367967</v>
      </c>
      <c r="AK28">
        <v>367800</v>
      </c>
      <c r="AL28">
        <v>373133</v>
      </c>
      <c r="AM28">
        <v>378133</v>
      </c>
      <c r="AN28">
        <v>379933</v>
      </c>
      <c r="AO28">
        <v>379900</v>
      </c>
      <c r="AP28">
        <v>379900</v>
      </c>
      <c r="AQ28">
        <v>382433</v>
      </c>
    </row>
    <row r="29" spans="1:51" x14ac:dyDescent="0.25">
      <c r="A29">
        <v>394943</v>
      </c>
      <c r="B29" t="str">
        <f>IF(E29='Mortgage Calculator'!$H$8,"True","False")</f>
        <v>False</v>
      </c>
      <c r="C29">
        <v>27</v>
      </c>
      <c r="D29" t="s">
        <v>126</v>
      </c>
      <c r="E29" t="s">
        <v>263</v>
      </c>
      <c r="F29" t="s">
        <v>82</v>
      </c>
      <c r="G29" t="s">
        <v>96</v>
      </c>
      <c r="H29">
        <v>299900</v>
      </c>
      <c r="I29">
        <v>302952</v>
      </c>
      <c r="J29">
        <v>309419</v>
      </c>
      <c r="K29">
        <v>317786</v>
      </c>
      <c r="L29">
        <v>323100</v>
      </c>
      <c r="M29">
        <v>325000</v>
      </c>
      <c r="N29">
        <v>324967</v>
      </c>
      <c r="O29">
        <v>323267</v>
      </c>
      <c r="P29">
        <v>319933</v>
      </c>
      <c r="Q29">
        <v>314933</v>
      </c>
      <c r="R29">
        <v>308300</v>
      </c>
      <c r="S29">
        <v>303267</v>
      </c>
      <c r="T29">
        <v>299933</v>
      </c>
      <c r="U29">
        <v>299933</v>
      </c>
      <c r="V29">
        <v>303463</v>
      </c>
      <c r="W29">
        <v>310163</v>
      </c>
      <c r="X29">
        <v>318497</v>
      </c>
      <c r="Y29">
        <v>323333</v>
      </c>
      <c r="Z29">
        <v>325000</v>
      </c>
      <c r="AA29">
        <v>325000</v>
      </c>
      <c r="AB29">
        <v>325500</v>
      </c>
      <c r="AC29">
        <v>325500</v>
      </c>
      <c r="AD29">
        <v>325500</v>
      </c>
      <c r="AE29">
        <v>325000</v>
      </c>
      <c r="AF29">
        <v>324967</v>
      </c>
      <c r="AG29">
        <v>326600</v>
      </c>
      <c r="AH29">
        <v>328900</v>
      </c>
      <c r="AI29">
        <v>326180</v>
      </c>
      <c r="AJ29">
        <v>322880</v>
      </c>
      <c r="AK29">
        <v>320910</v>
      </c>
      <c r="AL29">
        <v>325330</v>
      </c>
      <c r="AM29">
        <v>328663</v>
      </c>
      <c r="AN29">
        <v>330863</v>
      </c>
      <c r="AO29">
        <v>332363</v>
      </c>
      <c r="AP29">
        <v>332363</v>
      </c>
      <c r="AQ29">
        <v>331467</v>
      </c>
      <c r="AR29">
        <v>328300</v>
      </c>
      <c r="AS29">
        <v>327130</v>
      </c>
      <c r="AT29">
        <v>328830</v>
      </c>
      <c r="AU29">
        <v>335497</v>
      </c>
      <c r="AV29">
        <v>343333</v>
      </c>
      <c r="AW29">
        <v>354967</v>
      </c>
      <c r="AX29">
        <v>366300</v>
      </c>
      <c r="AY29">
        <v>377967</v>
      </c>
    </row>
    <row r="30" spans="1:51" x14ac:dyDescent="0.25">
      <c r="A30">
        <v>395148</v>
      </c>
      <c r="B30" t="str">
        <f>IF(E30='Mortgage Calculator'!$H$8,"True","False")</f>
        <v>False</v>
      </c>
      <c r="C30">
        <v>19</v>
      </c>
      <c r="D30" t="s">
        <v>114</v>
      </c>
      <c r="E30" t="s">
        <v>255</v>
      </c>
      <c r="F30" t="s">
        <v>82</v>
      </c>
      <c r="G30" t="s">
        <v>96</v>
      </c>
      <c r="H30">
        <v>260131</v>
      </c>
      <c r="I30">
        <v>260131</v>
      </c>
      <c r="J30">
        <v>261770</v>
      </c>
      <c r="K30">
        <v>265031</v>
      </c>
      <c r="L30">
        <v>269882</v>
      </c>
      <c r="M30">
        <v>273095</v>
      </c>
      <c r="N30">
        <v>273092</v>
      </c>
      <c r="O30">
        <v>270490</v>
      </c>
      <c r="P30">
        <v>267277</v>
      </c>
      <c r="Q30">
        <v>264067</v>
      </c>
      <c r="R30">
        <v>261818</v>
      </c>
      <c r="S30">
        <v>259569</v>
      </c>
      <c r="T30">
        <v>258927</v>
      </c>
      <c r="U30">
        <v>258927</v>
      </c>
      <c r="V30">
        <v>262139</v>
      </c>
      <c r="W30">
        <v>267601</v>
      </c>
      <c r="X30">
        <v>275344</v>
      </c>
      <c r="Y30">
        <v>280485</v>
      </c>
      <c r="Z30">
        <v>282059</v>
      </c>
      <c r="AA30">
        <v>280774</v>
      </c>
      <c r="AB30">
        <v>279457</v>
      </c>
      <c r="AC30">
        <v>279135</v>
      </c>
      <c r="AD30">
        <v>277529</v>
      </c>
      <c r="AE30">
        <v>275634</v>
      </c>
      <c r="AF30">
        <v>273063</v>
      </c>
      <c r="AG30">
        <v>273063</v>
      </c>
      <c r="AH30">
        <v>274348</v>
      </c>
      <c r="AI30">
        <v>274059</v>
      </c>
      <c r="AJ30">
        <v>275650</v>
      </c>
      <c r="AK30">
        <v>279184</v>
      </c>
      <c r="AL30">
        <v>286863</v>
      </c>
      <c r="AM30">
        <v>293304</v>
      </c>
      <c r="AN30">
        <v>298092</v>
      </c>
      <c r="AO30">
        <v>302943</v>
      </c>
      <c r="AP30">
        <v>303746</v>
      </c>
      <c r="AQ30">
        <v>302493</v>
      </c>
      <c r="AR30">
        <v>300002</v>
      </c>
      <c r="AS30">
        <v>299566</v>
      </c>
      <c r="AT30">
        <v>304800</v>
      </c>
      <c r="AU30">
        <v>314800</v>
      </c>
      <c r="AV30">
        <v>331467</v>
      </c>
      <c r="AW30">
        <v>346300</v>
      </c>
      <c r="AX30">
        <v>359300</v>
      </c>
      <c r="AY30">
        <v>367667</v>
      </c>
    </row>
    <row r="31" spans="1:51" x14ac:dyDescent="0.25">
      <c r="A31">
        <v>394347</v>
      </c>
      <c r="B31" t="str">
        <f>IF(E31='Mortgage Calculator'!$H$8,"True","False")</f>
        <v>False</v>
      </c>
      <c r="C31">
        <v>9</v>
      </c>
      <c r="D31" t="s">
        <v>97</v>
      </c>
      <c r="E31" t="s">
        <v>245</v>
      </c>
      <c r="F31" t="s">
        <v>82</v>
      </c>
      <c r="G31" t="s">
        <v>98</v>
      </c>
      <c r="H31">
        <v>310085</v>
      </c>
      <c r="I31">
        <v>314963</v>
      </c>
      <c r="J31">
        <v>323630</v>
      </c>
      <c r="K31">
        <v>335330</v>
      </c>
      <c r="L31">
        <v>344667</v>
      </c>
      <c r="M31">
        <v>349633</v>
      </c>
      <c r="N31">
        <v>344933</v>
      </c>
      <c r="O31">
        <v>337933</v>
      </c>
      <c r="P31">
        <v>329633</v>
      </c>
      <c r="Q31">
        <v>325000</v>
      </c>
      <c r="R31">
        <v>320908</v>
      </c>
      <c r="S31">
        <v>317542</v>
      </c>
      <c r="T31">
        <v>313842</v>
      </c>
      <c r="U31">
        <v>313267</v>
      </c>
      <c r="V31">
        <v>317022</v>
      </c>
      <c r="W31">
        <v>326722</v>
      </c>
      <c r="X31">
        <v>338055</v>
      </c>
      <c r="Y31">
        <v>344333</v>
      </c>
      <c r="Z31">
        <v>344633</v>
      </c>
      <c r="AA31">
        <v>339933</v>
      </c>
      <c r="AB31">
        <v>334900</v>
      </c>
      <c r="AC31">
        <v>330334</v>
      </c>
      <c r="AD31">
        <v>327034</v>
      </c>
      <c r="AE31">
        <v>325034</v>
      </c>
      <c r="AF31">
        <v>323633</v>
      </c>
      <c r="AG31">
        <v>323633</v>
      </c>
      <c r="AH31">
        <v>325667</v>
      </c>
      <c r="AI31">
        <v>327300</v>
      </c>
      <c r="AJ31">
        <v>330633</v>
      </c>
      <c r="AK31">
        <v>336967</v>
      </c>
      <c r="AL31">
        <v>344667</v>
      </c>
      <c r="AM31">
        <v>351333</v>
      </c>
      <c r="AN31">
        <v>354667</v>
      </c>
      <c r="AO31">
        <v>356300</v>
      </c>
      <c r="AP31">
        <v>354633</v>
      </c>
      <c r="AQ31">
        <v>351600</v>
      </c>
      <c r="AR31">
        <v>349933</v>
      </c>
      <c r="AS31">
        <v>352267</v>
      </c>
      <c r="AT31">
        <v>360017</v>
      </c>
      <c r="AU31">
        <v>376383</v>
      </c>
      <c r="AV31">
        <v>390683</v>
      </c>
      <c r="AW31">
        <v>400100</v>
      </c>
      <c r="AX31">
        <v>401433</v>
      </c>
      <c r="AY31">
        <v>401467</v>
      </c>
    </row>
    <row r="32" spans="1:51" x14ac:dyDescent="0.25">
      <c r="A32">
        <v>753924</v>
      </c>
      <c r="B32" t="str">
        <f>IF(E32='Mortgage Calculator'!$H$8,"True","False")</f>
        <v>False</v>
      </c>
      <c r="C32">
        <v>54</v>
      </c>
      <c r="D32" t="s">
        <v>166</v>
      </c>
      <c r="E32" t="s">
        <v>290</v>
      </c>
      <c r="F32" t="s">
        <v>82</v>
      </c>
      <c r="G32" t="s">
        <v>167</v>
      </c>
      <c r="H32">
        <v>662667</v>
      </c>
      <c r="I32">
        <v>661000</v>
      </c>
      <c r="J32">
        <v>654300</v>
      </c>
      <c r="K32">
        <v>648300</v>
      </c>
      <c r="L32">
        <v>651300</v>
      </c>
      <c r="M32">
        <v>658000</v>
      </c>
      <c r="N32">
        <v>663000</v>
      </c>
      <c r="O32">
        <v>668333</v>
      </c>
      <c r="P32">
        <v>671333</v>
      </c>
      <c r="Q32">
        <v>669333</v>
      </c>
      <c r="R32">
        <v>664333</v>
      </c>
      <c r="S32">
        <v>659667</v>
      </c>
      <c r="T32">
        <v>666333</v>
      </c>
      <c r="U32">
        <v>668000</v>
      </c>
      <c r="V32">
        <v>671333</v>
      </c>
      <c r="W32">
        <v>667667</v>
      </c>
      <c r="X32">
        <v>669000</v>
      </c>
      <c r="Y32">
        <v>670000</v>
      </c>
      <c r="Z32">
        <v>670000</v>
      </c>
      <c r="AA32">
        <v>668667</v>
      </c>
      <c r="AB32">
        <v>661000</v>
      </c>
      <c r="AC32">
        <v>655000</v>
      </c>
      <c r="AD32">
        <v>649667</v>
      </c>
      <c r="AE32">
        <v>649269</v>
      </c>
      <c r="AF32">
        <v>644269</v>
      </c>
      <c r="AG32">
        <v>639603</v>
      </c>
      <c r="AH32">
        <v>631667</v>
      </c>
      <c r="AI32">
        <v>623333</v>
      </c>
      <c r="AJ32">
        <v>611333</v>
      </c>
      <c r="AK32">
        <v>606167</v>
      </c>
      <c r="AL32">
        <v>608833</v>
      </c>
      <c r="AM32">
        <v>609167</v>
      </c>
      <c r="AN32">
        <v>601000</v>
      </c>
      <c r="AO32">
        <v>591629</v>
      </c>
      <c r="AP32">
        <v>591296</v>
      </c>
      <c r="AQ32">
        <v>598963</v>
      </c>
    </row>
    <row r="33" spans="1:51" x14ac:dyDescent="0.25">
      <c r="A33">
        <v>394531</v>
      </c>
      <c r="B33" t="str">
        <f>IF(E33='Mortgage Calculator'!$H$8,"True","False")</f>
        <v>False</v>
      </c>
      <c r="C33">
        <v>91</v>
      </c>
      <c r="D33" t="s">
        <v>210</v>
      </c>
      <c r="E33" t="s">
        <v>327</v>
      </c>
      <c r="F33" t="s">
        <v>82</v>
      </c>
      <c r="G33" t="s">
        <v>211</v>
      </c>
      <c r="H33">
        <v>280767</v>
      </c>
      <c r="I33">
        <v>284400</v>
      </c>
      <c r="J33">
        <v>289733</v>
      </c>
      <c r="K33">
        <v>295267</v>
      </c>
      <c r="L33">
        <v>298433</v>
      </c>
      <c r="M33">
        <v>299600</v>
      </c>
      <c r="N33">
        <v>298933</v>
      </c>
      <c r="O33">
        <v>295600</v>
      </c>
      <c r="P33">
        <v>292133</v>
      </c>
      <c r="Q33">
        <v>289567</v>
      </c>
      <c r="R33">
        <v>287933</v>
      </c>
      <c r="S33">
        <v>284933</v>
      </c>
      <c r="T33">
        <v>282967</v>
      </c>
      <c r="U33">
        <v>283767</v>
      </c>
      <c r="V33">
        <v>287067</v>
      </c>
      <c r="W33">
        <v>290100</v>
      </c>
      <c r="X33">
        <v>290933</v>
      </c>
      <c r="Y33">
        <v>290933</v>
      </c>
      <c r="Z33">
        <v>288018</v>
      </c>
      <c r="AA33">
        <v>283051</v>
      </c>
      <c r="AB33">
        <v>276418</v>
      </c>
      <c r="AC33">
        <v>268550</v>
      </c>
      <c r="AD33">
        <v>263517</v>
      </c>
      <c r="AE33">
        <v>259513</v>
      </c>
      <c r="AF33">
        <v>260627</v>
      </c>
      <c r="AG33">
        <v>263960</v>
      </c>
      <c r="AH33">
        <v>269597</v>
      </c>
      <c r="AI33">
        <v>273233</v>
      </c>
      <c r="AJ33">
        <v>276567</v>
      </c>
      <c r="AK33">
        <v>279900</v>
      </c>
      <c r="AL33">
        <v>282713</v>
      </c>
      <c r="AM33">
        <v>282077</v>
      </c>
      <c r="AN33">
        <v>278777</v>
      </c>
      <c r="AO33">
        <v>274497</v>
      </c>
      <c r="AP33">
        <v>271800</v>
      </c>
      <c r="AQ33">
        <v>270797</v>
      </c>
      <c r="AR33">
        <v>272297</v>
      </c>
      <c r="AS33">
        <v>275663</v>
      </c>
      <c r="AT33">
        <v>281333</v>
      </c>
      <c r="AU33">
        <v>289733</v>
      </c>
      <c r="AV33">
        <v>299883</v>
      </c>
      <c r="AW33">
        <v>309270</v>
      </c>
      <c r="AX33">
        <v>316533</v>
      </c>
      <c r="AY33">
        <v>318017</v>
      </c>
    </row>
    <row r="34" spans="1:51" x14ac:dyDescent="0.25">
      <c r="A34">
        <v>394399</v>
      </c>
      <c r="B34" t="str">
        <f>IF(E34='Mortgage Calculator'!$H$8,"True","False")</f>
        <v>False</v>
      </c>
      <c r="C34">
        <v>85</v>
      </c>
      <c r="D34" t="s">
        <v>203</v>
      </c>
      <c r="E34" t="s">
        <v>321</v>
      </c>
      <c r="F34" t="s">
        <v>82</v>
      </c>
      <c r="G34" t="s">
        <v>204</v>
      </c>
      <c r="H34">
        <v>326300</v>
      </c>
      <c r="I34">
        <v>342967</v>
      </c>
      <c r="J34">
        <v>348300</v>
      </c>
      <c r="K34">
        <v>354633</v>
      </c>
      <c r="L34">
        <v>356633</v>
      </c>
      <c r="M34">
        <v>361633</v>
      </c>
      <c r="N34">
        <v>360267</v>
      </c>
      <c r="O34">
        <v>354963</v>
      </c>
      <c r="P34">
        <v>351627</v>
      </c>
      <c r="Q34">
        <v>348327</v>
      </c>
      <c r="R34">
        <v>344997</v>
      </c>
      <c r="S34">
        <v>341633</v>
      </c>
      <c r="T34">
        <v>341297</v>
      </c>
      <c r="U34">
        <v>345960</v>
      </c>
      <c r="V34">
        <v>355627</v>
      </c>
      <c r="W34">
        <v>369263</v>
      </c>
      <c r="X34">
        <v>381263</v>
      </c>
      <c r="Y34">
        <v>388263</v>
      </c>
      <c r="Z34">
        <v>388297</v>
      </c>
      <c r="AA34">
        <v>384933</v>
      </c>
      <c r="AB34">
        <v>380088</v>
      </c>
      <c r="AC34">
        <v>374255</v>
      </c>
      <c r="AD34">
        <v>370622</v>
      </c>
      <c r="AE34">
        <v>368800</v>
      </c>
      <c r="AF34">
        <v>372600</v>
      </c>
      <c r="AG34">
        <v>379267</v>
      </c>
      <c r="AH34">
        <v>388126</v>
      </c>
      <c r="AI34">
        <v>393489</v>
      </c>
      <c r="AJ34">
        <v>397122</v>
      </c>
      <c r="AK34">
        <v>403263</v>
      </c>
      <c r="AL34">
        <v>413233</v>
      </c>
      <c r="AM34">
        <v>421567</v>
      </c>
      <c r="AN34">
        <v>426567</v>
      </c>
      <c r="AO34">
        <v>431269</v>
      </c>
      <c r="AP34">
        <v>443069</v>
      </c>
      <c r="AQ34">
        <v>452736</v>
      </c>
      <c r="AR34">
        <v>461033</v>
      </c>
      <c r="AS34">
        <v>469263</v>
      </c>
      <c r="AT34">
        <v>482967</v>
      </c>
      <c r="AU34">
        <v>505253</v>
      </c>
      <c r="AV34">
        <v>528920</v>
      </c>
      <c r="AW34">
        <v>551550</v>
      </c>
      <c r="AX34">
        <v>560597</v>
      </c>
      <c r="AY34">
        <v>556933</v>
      </c>
    </row>
    <row r="35" spans="1:51" x14ac:dyDescent="0.25">
      <c r="A35">
        <v>394463</v>
      </c>
      <c r="B35" t="str">
        <f>IF(E35='Mortgage Calculator'!$H$8,"True","False")</f>
        <v>False</v>
      </c>
      <c r="C35">
        <v>3</v>
      </c>
      <c r="D35" t="s">
        <v>86</v>
      </c>
      <c r="E35" t="s">
        <v>239</v>
      </c>
      <c r="F35" t="s">
        <v>82</v>
      </c>
      <c r="G35" t="s">
        <v>87</v>
      </c>
      <c r="H35">
        <v>301000</v>
      </c>
      <c r="I35">
        <v>305967</v>
      </c>
      <c r="J35">
        <v>319300</v>
      </c>
      <c r="K35">
        <v>335967</v>
      </c>
      <c r="L35">
        <v>345967</v>
      </c>
      <c r="M35">
        <v>347967</v>
      </c>
      <c r="N35">
        <v>343600</v>
      </c>
      <c r="O35">
        <v>336933</v>
      </c>
      <c r="P35">
        <v>330266</v>
      </c>
      <c r="Q35">
        <v>324933</v>
      </c>
      <c r="R35">
        <v>318300</v>
      </c>
      <c r="S35">
        <v>309933</v>
      </c>
      <c r="T35">
        <v>303267</v>
      </c>
      <c r="U35">
        <v>306600</v>
      </c>
      <c r="V35">
        <v>319633</v>
      </c>
      <c r="W35">
        <v>336000</v>
      </c>
      <c r="X35">
        <v>345667</v>
      </c>
      <c r="Y35">
        <v>347667</v>
      </c>
      <c r="Z35">
        <v>344333</v>
      </c>
      <c r="AA35">
        <v>337967</v>
      </c>
      <c r="AB35">
        <v>331300</v>
      </c>
      <c r="AC35">
        <v>324933</v>
      </c>
      <c r="AD35">
        <v>319493</v>
      </c>
      <c r="AE35">
        <v>311160</v>
      </c>
      <c r="AF35">
        <v>306193</v>
      </c>
      <c r="AG35">
        <v>309967</v>
      </c>
      <c r="AH35">
        <v>319967</v>
      </c>
      <c r="AI35">
        <v>327967</v>
      </c>
      <c r="AJ35">
        <v>331333</v>
      </c>
      <c r="AK35">
        <v>336333</v>
      </c>
      <c r="AL35">
        <v>343300</v>
      </c>
      <c r="AM35">
        <v>348300</v>
      </c>
      <c r="AN35">
        <v>349966</v>
      </c>
      <c r="AO35">
        <v>349666</v>
      </c>
      <c r="AP35">
        <v>346000</v>
      </c>
      <c r="AQ35">
        <v>339333</v>
      </c>
      <c r="AR35">
        <v>331333</v>
      </c>
      <c r="AS35">
        <v>331667</v>
      </c>
      <c r="AT35">
        <v>338300</v>
      </c>
      <c r="AU35">
        <v>346633</v>
      </c>
      <c r="AV35">
        <v>352967</v>
      </c>
      <c r="AW35">
        <v>354633</v>
      </c>
      <c r="AX35">
        <v>354600</v>
      </c>
      <c r="AY35">
        <v>348233</v>
      </c>
    </row>
    <row r="36" spans="1:51" x14ac:dyDescent="0.25">
      <c r="A36">
        <v>394705</v>
      </c>
      <c r="B36" t="str">
        <f>IF(E36='Mortgage Calculator'!$H$8,"True","False")</f>
        <v>False</v>
      </c>
      <c r="C36">
        <v>33</v>
      </c>
      <c r="D36" t="s">
        <v>134</v>
      </c>
      <c r="E36" t="s">
        <v>269</v>
      </c>
      <c r="F36" t="s">
        <v>82</v>
      </c>
      <c r="G36" t="s">
        <v>135</v>
      </c>
      <c r="H36">
        <v>210300</v>
      </c>
      <c r="I36">
        <v>215267</v>
      </c>
      <c r="J36">
        <v>227233</v>
      </c>
      <c r="K36">
        <v>251600</v>
      </c>
      <c r="L36">
        <v>272600</v>
      </c>
      <c r="M36">
        <v>284283</v>
      </c>
      <c r="N36">
        <v>279950</v>
      </c>
      <c r="O36">
        <v>270317</v>
      </c>
      <c r="P36">
        <v>260300</v>
      </c>
      <c r="Q36">
        <v>249600</v>
      </c>
      <c r="R36">
        <v>239932</v>
      </c>
      <c r="S36">
        <v>233182</v>
      </c>
      <c r="T36">
        <v>229882</v>
      </c>
      <c r="U36">
        <v>234883</v>
      </c>
      <c r="V36">
        <v>248300</v>
      </c>
      <c r="W36">
        <v>266633</v>
      </c>
      <c r="X36">
        <v>281600</v>
      </c>
      <c r="Y36">
        <v>286600</v>
      </c>
      <c r="Z36">
        <v>284900</v>
      </c>
      <c r="AA36">
        <v>279767</v>
      </c>
      <c r="AB36">
        <v>274800</v>
      </c>
      <c r="AC36">
        <v>269800</v>
      </c>
      <c r="AD36">
        <v>264615</v>
      </c>
      <c r="AE36">
        <v>257948</v>
      </c>
      <c r="AF36">
        <v>256282</v>
      </c>
      <c r="AG36">
        <v>261049</v>
      </c>
      <c r="AH36">
        <v>272715</v>
      </c>
      <c r="AI36">
        <v>282715</v>
      </c>
      <c r="AJ36">
        <v>291630</v>
      </c>
      <c r="AK36">
        <v>302446</v>
      </c>
      <c r="AL36">
        <v>311446</v>
      </c>
      <c r="AM36">
        <v>316450</v>
      </c>
      <c r="AN36">
        <v>310300</v>
      </c>
      <c r="AO36">
        <v>299667</v>
      </c>
      <c r="AP36">
        <v>286667</v>
      </c>
      <c r="AQ36">
        <v>278122</v>
      </c>
      <c r="AR36">
        <v>274755</v>
      </c>
      <c r="AS36">
        <v>277755</v>
      </c>
      <c r="AT36">
        <v>284793</v>
      </c>
      <c r="AU36">
        <v>293127</v>
      </c>
      <c r="AV36">
        <v>297793</v>
      </c>
      <c r="AW36">
        <v>299300</v>
      </c>
      <c r="AX36">
        <v>296000</v>
      </c>
      <c r="AY36">
        <v>295000</v>
      </c>
    </row>
    <row r="37" spans="1:51" x14ac:dyDescent="0.25">
      <c r="A37">
        <v>395224</v>
      </c>
      <c r="B37" t="str">
        <f>IF(E37='Mortgage Calculator'!$H$8,"True","False")</f>
        <v>False</v>
      </c>
      <c r="C37">
        <v>82</v>
      </c>
      <c r="D37" t="s">
        <v>199</v>
      </c>
      <c r="E37" t="s">
        <v>318</v>
      </c>
      <c r="F37" t="s">
        <v>82</v>
      </c>
      <c r="G37" t="s">
        <v>200</v>
      </c>
      <c r="H37">
        <v>176600</v>
      </c>
      <c r="I37">
        <v>182600</v>
      </c>
      <c r="J37">
        <v>190933</v>
      </c>
      <c r="K37">
        <v>200933</v>
      </c>
      <c r="L37">
        <v>206567</v>
      </c>
      <c r="M37">
        <v>208233</v>
      </c>
      <c r="N37">
        <v>206233</v>
      </c>
      <c r="O37">
        <v>202900</v>
      </c>
      <c r="P37">
        <v>200600</v>
      </c>
      <c r="Q37">
        <v>197963</v>
      </c>
      <c r="R37">
        <v>193663</v>
      </c>
      <c r="S37">
        <v>190163</v>
      </c>
      <c r="T37">
        <v>189833</v>
      </c>
      <c r="U37">
        <v>194133</v>
      </c>
      <c r="V37">
        <v>202267</v>
      </c>
      <c r="W37">
        <v>211233</v>
      </c>
      <c r="X37">
        <v>220150</v>
      </c>
      <c r="Y37">
        <v>225333</v>
      </c>
      <c r="Z37">
        <v>224367</v>
      </c>
      <c r="AA37">
        <v>220483</v>
      </c>
      <c r="AB37">
        <v>216333</v>
      </c>
      <c r="AC37">
        <v>215000</v>
      </c>
      <c r="AD37">
        <v>213300</v>
      </c>
      <c r="AE37">
        <v>208267</v>
      </c>
      <c r="AF37">
        <v>202958</v>
      </c>
      <c r="AG37">
        <v>201325</v>
      </c>
      <c r="AH37">
        <v>209525</v>
      </c>
      <c r="AI37">
        <v>219767</v>
      </c>
      <c r="AJ37">
        <v>234583</v>
      </c>
      <c r="AK37">
        <v>248750</v>
      </c>
      <c r="AL37">
        <v>261350</v>
      </c>
      <c r="AM37">
        <v>264767</v>
      </c>
      <c r="AQ37">
        <v>228981</v>
      </c>
      <c r="AR37">
        <v>228130</v>
      </c>
      <c r="AS37">
        <v>234763</v>
      </c>
      <c r="AT37">
        <v>243097</v>
      </c>
      <c r="AU37">
        <v>247633</v>
      </c>
      <c r="AV37">
        <v>242333</v>
      </c>
      <c r="AW37">
        <v>232333</v>
      </c>
      <c r="AX37">
        <v>223000</v>
      </c>
      <c r="AY37">
        <v>215000</v>
      </c>
    </row>
    <row r="38" spans="1:51" x14ac:dyDescent="0.25">
      <c r="A38">
        <v>394807</v>
      </c>
      <c r="B38" t="str">
        <f>IF(E38='Mortgage Calculator'!$H$8,"True","False")</f>
        <v>False</v>
      </c>
      <c r="C38">
        <v>43</v>
      </c>
      <c r="D38" t="s">
        <v>150</v>
      </c>
      <c r="E38" t="s">
        <v>279</v>
      </c>
      <c r="F38" t="s">
        <v>82</v>
      </c>
      <c r="G38" t="s">
        <v>151</v>
      </c>
      <c r="H38">
        <v>232000</v>
      </c>
      <c r="I38">
        <v>240300</v>
      </c>
      <c r="J38">
        <v>253933</v>
      </c>
      <c r="K38">
        <v>266567</v>
      </c>
      <c r="L38">
        <v>274600</v>
      </c>
      <c r="M38">
        <v>276600</v>
      </c>
      <c r="N38">
        <v>274800</v>
      </c>
      <c r="O38">
        <v>271467</v>
      </c>
      <c r="P38">
        <v>267833</v>
      </c>
      <c r="Q38">
        <v>265700</v>
      </c>
      <c r="R38">
        <v>261783</v>
      </c>
      <c r="S38">
        <v>256783</v>
      </c>
      <c r="T38">
        <v>254050</v>
      </c>
      <c r="U38">
        <v>256967</v>
      </c>
      <c r="V38">
        <v>265800</v>
      </c>
      <c r="W38">
        <v>277333</v>
      </c>
      <c r="X38">
        <v>286633</v>
      </c>
      <c r="Y38">
        <v>291100</v>
      </c>
      <c r="Z38">
        <v>289600</v>
      </c>
      <c r="AA38">
        <v>284633</v>
      </c>
      <c r="AB38">
        <v>277967</v>
      </c>
      <c r="AC38">
        <v>269600</v>
      </c>
      <c r="AD38">
        <v>259933</v>
      </c>
      <c r="AE38">
        <v>251967</v>
      </c>
      <c r="AF38">
        <v>248500</v>
      </c>
      <c r="AG38">
        <v>253133</v>
      </c>
      <c r="AH38">
        <v>264681</v>
      </c>
      <c r="AI38">
        <v>278148</v>
      </c>
      <c r="AJ38">
        <v>290148</v>
      </c>
      <c r="AK38">
        <v>296567</v>
      </c>
      <c r="AL38">
        <v>299600</v>
      </c>
      <c r="AM38">
        <v>296300</v>
      </c>
      <c r="AN38">
        <v>287967</v>
      </c>
      <c r="AO38">
        <v>277967</v>
      </c>
      <c r="AP38">
        <v>265967</v>
      </c>
      <c r="AQ38">
        <v>259300</v>
      </c>
      <c r="AR38">
        <v>255967</v>
      </c>
      <c r="AS38">
        <v>261267</v>
      </c>
      <c r="AT38">
        <v>269600</v>
      </c>
      <c r="AU38">
        <v>278263</v>
      </c>
      <c r="AV38">
        <v>285293</v>
      </c>
      <c r="AW38">
        <v>288458</v>
      </c>
      <c r="AX38">
        <v>286762</v>
      </c>
      <c r="AY38">
        <v>282428</v>
      </c>
    </row>
    <row r="39" spans="1:51" x14ac:dyDescent="0.25">
      <c r="A39">
        <v>394367</v>
      </c>
      <c r="B39" t="str">
        <f>IF(E39='Mortgage Calculator'!$H$8,"True","False")</f>
        <v>False</v>
      </c>
      <c r="C39">
        <v>69</v>
      </c>
      <c r="D39" t="s">
        <v>185</v>
      </c>
      <c r="E39" t="s">
        <v>305</v>
      </c>
      <c r="F39" t="s">
        <v>82</v>
      </c>
      <c r="G39" t="s">
        <v>156</v>
      </c>
      <c r="H39">
        <v>230800</v>
      </c>
      <c r="I39">
        <v>231600</v>
      </c>
      <c r="J39">
        <v>234600</v>
      </c>
      <c r="K39">
        <v>239600</v>
      </c>
      <c r="L39">
        <v>244600</v>
      </c>
      <c r="M39">
        <v>248266</v>
      </c>
      <c r="N39">
        <v>248300</v>
      </c>
      <c r="O39">
        <v>246500</v>
      </c>
      <c r="P39">
        <v>244500</v>
      </c>
      <c r="Q39">
        <v>242833</v>
      </c>
      <c r="R39">
        <v>241333</v>
      </c>
      <c r="S39">
        <v>239967</v>
      </c>
      <c r="T39">
        <v>239967</v>
      </c>
      <c r="U39">
        <v>241519</v>
      </c>
      <c r="V39">
        <v>243885</v>
      </c>
      <c r="W39">
        <v>248519</v>
      </c>
      <c r="X39">
        <v>253300</v>
      </c>
      <c r="Y39">
        <v>255967</v>
      </c>
      <c r="Z39">
        <v>254667</v>
      </c>
      <c r="AA39">
        <v>250967</v>
      </c>
      <c r="AB39">
        <v>247600</v>
      </c>
      <c r="AC39">
        <v>245570</v>
      </c>
      <c r="AD39">
        <v>243640</v>
      </c>
      <c r="AE39">
        <v>242007</v>
      </c>
      <c r="AF39">
        <v>240670</v>
      </c>
      <c r="AG39">
        <v>241600</v>
      </c>
      <c r="AH39">
        <v>244900</v>
      </c>
      <c r="AI39">
        <v>247933</v>
      </c>
      <c r="AJ39">
        <v>249900</v>
      </c>
      <c r="AK39">
        <v>253233</v>
      </c>
      <c r="AL39">
        <v>257900</v>
      </c>
      <c r="AM39">
        <v>263633</v>
      </c>
      <c r="AN39">
        <v>267667</v>
      </c>
      <c r="AO39">
        <v>271300</v>
      </c>
      <c r="AP39">
        <v>271933</v>
      </c>
      <c r="AQ39">
        <v>271233</v>
      </c>
      <c r="AR39">
        <v>269600</v>
      </c>
      <c r="AS39">
        <v>271267</v>
      </c>
      <c r="AT39">
        <v>276297</v>
      </c>
      <c r="AU39">
        <v>285190</v>
      </c>
      <c r="AV39">
        <v>293523</v>
      </c>
      <c r="AW39">
        <v>298430</v>
      </c>
      <c r="AX39">
        <v>299503</v>
      </c>
      <c r="AY39">
        <v>297870</v>
      </c>
    </row>
    <row r="40" spans="1:51" x14ac:dyDescent="0.25">
      <c r="A40">
        <v>394910</v>
      </c>
      <c r="B40" t="str">
        <f>IF(E40='Mortgage Calculator'!$H$8,"True","False")</f>
        <v>False</v>
      </c>
      <c r="C40">
        <v>46</v>
      </c>
      <c r="D40" t="s">
        <v>155</v>
      </c>
      <c r="E40" t="s">
        <v>282</v>
      </c>
      <c r="F40" t="s">
        <v>82</v>
      </c>
      <c r="G40" t="s">
        <v>156</v>
      </c>
      <c r="H40">
        <v>245967</v>
      </c>
      <c r="I40">
        <v>243127</v>
      </c>
      <c r="J40">
        <v>243793</v>
      </c>
      <c r="K40">
        <v>250127</v>
      </c>
      <c r="L40">
        <v>257600</v>
      </c>
      <c r="M40">
        <v>262633</v>
      </c>
      <c r="N40">
        <v>264267</v>
      </c>
      <c r="O40">
        <v>262933</v>
      </c>
      <c r="P40">
        <v>260600</v>
      </c>
      <c r="Q40">
        <v>257600</v>
      </c>
      <c r="R40">
        <v>254300</v>
      </c>
      <c r="S40">
        <v>251633</v>
      </c>
      <c r="T40">
        <v>250000</v>
      </c>
      <c r="U40">
        <v>252000</v>
      </c>
      <c r="V40">
        <v>256667</v>
      </c>
      <c r="W40">
        <v>263300</v>
      </c>
      <c r="X40">
        <v>269600</v>
      </c>
      <c r="Y40">
        <v>272733</v>
      </c>
      <c r="Z40">
        <v>272733</v>
      </c>
      <c r="AA40">
        <v>270767</v>
      </c>
      <c r="AB40">
        <v>269300</v>
      </c>
      <c r="AC40">
        <v>268667</v>
      </c>
      <c r="AD40">
        <v>267967</v>
      </c>
      <c r="AE40">
        <v>266500</v>
      </c>
      <c r="AF40">
        <v>263833</v>
      </c>
      <c r="AG40">
        <v>262867</v>
      </c>
      <c r="AH40">
        <v>264633</v>
      </c>
      <c r="AI40">
        <v>269633</v>
      </c>
      <c r="AJ40">
        <v>276433</v>
      </c>
      <c r="AK40">
        <v>282800</v>
      </c>
      <c r="AL40">
        <v>289133</v>
      </c>
      <c r="AM40">
        <v>294300</v>
      </c>
      <c r="AN40">
        <v>297633</v>
      </c>
      <c r="AO40">
        <v>299467</v>
      </c>
      <c r="AP40">
        <v>299167</v>
      </c>
      <c r="AQ40">
        <v>299333</v>
      </c>
      <c r="AR40">
        <v>297833</v>
      </c>
      <c r="AS40">
        <v>297500</v>
      </c>
      <c r="AT40">
        <v>297667</v>
      </c>
      <c r="AU40">
        <v>305967</v>
      </c>
      <c r="AV40">
        <v>314967</v>
      </c>
      <c r="AW40">
        <v>324633</v>
      </c>
      <c r="AX40">
        <v>326333</v>
      </c>
      <c r="AY40">
        <v>324333</v>
      </c>
    </row>
    <row r="41" spans="1:51" x14ac:dyDescent="0.25">
      <c r="A41">
        <v>394404</v>
      </c>
      <c r="B41" t="str">
        <f>IF(E41='Mortgage Calculator'!$H$8,"True","False")</f>
        <v>False</v>
      </c>
      <c r="C41">
        <v>10</v>
      </c>
      <c r="D41" t="s">
        <v>99</v>
      </c>
      <c r="E41" t="s">
        <v>246</v>
      </c>
      <c r="F41" t="s">
        <v>82</v>
      </c>
      <c r="G41" t="s">
        <v>100</v>
      </c>
      <c r="H41">
        <v>541267</v>
      </c>
      <c r="I41">
        <v>543600</v>
      </c>
      <c r="J41">
        <v>563633</v>
      </c>
      <c r="K41">
        <v>583333</v>
      </c>
      <c r="L41">
        <v>597833</v>
      </c>
      <c r="M41">
        <v>596133</v>
      </c>
      <c r="N41">
        <v>579767</v>
      </c>
      <c r="O41">
        <v>556600</v>
      </c>
      <c r="P41">
        <v>539633</v>
      </c>
      <c r="Q41">
        <v>536000</v>
      </c>
      <c r="R41">
        <v>535967</v>
      </c>
      <c r="S41">
        <v>531300</v>
      </c>
      <c r="T41">
        <v>528267</v>
      </c>
      <c r="U41">
        <v>533300</v>
      </c>
      <c r="V41">
        <v>549967</v>
      </c>
      <c r="W41">
        <v>571633</v>
      </c>
      <c r="X41">
        <v>589633</v>
      </c>
      <c r="Y41">
        <v>596300</v>
      </c>
      <c r="Z41">
        <v>594633</v>
      </c>
      <c r="AA41">
        <v>586633</v>
      </c>
      <c r="AB41">
        <v>579933</v>
      </c>
      <c r="AC41">
        <v>574966</v>
      </c>
      <c r="AD41">
        <v>574967</v>
      </c>
      <c r="AE41">
        <v>574833</v>
      </c>
      <c r="AF41">
        <v>574833</v>
      </c>
      <c r="AG41">
        <v>582833</v>
      </c>
      <c r="AH41">
        <v>597667</v>
      </c>
      <c r="AI41">
        <v>605967</v>
      </c>
      <c r="AJ41">
        <v>614600</v>
      </c>
      <c r="AK41">
        <v>624267</v>
      </c>
      <c r="AL41">
        <v>640966</v>
      </c>
      <c r="AM41">
        <v>649331</v>
      </c>
      <c r="AN41">
        <v>649965</v>
      </c>
      <c r="AO41">
        <v>656632</v>
      </c>
      <c r="AP41">
        <v>662967</v>
      </c>
      <c r="AQ41">
        <v>666000</v>
      </c>
      <c r="AR41">
        <v>665667</v>
      </c>
      <c r="AS41">
        <v>672633</v>
      </c>
      <c r="AT41">
        <v>682933</v>
      </c>
      <c r="AU41">
        <v>691600</v>
      </c>
      <c r="AV41">
        <v>694933</v>
      </c>
      <c r="AW41">
        <v>697967</v>
      </c>
      <c r="AX41">
        <v>692633</v>
      </c>
      <c r="AY41">
        <v>676000</v>
      </c>
    </row>
    <row r="42" spans="1:51" x14ac:dyDescent="0.25">
      <c r="A42">
        <v>395115</v>
      </c>
      <c r="B42" t="str">
        <f>IF(E42='Mortgage Calculator'!$H$8,"True","False")</f>
        <v>False</v>
      </c>
      <c r="C42">
        <v>83</v>
      </c>
      <c r="D42" t="s">
        <v>201</v>
      </c>
      <c r="E42" t="s">
        <v>319</v>
      </c>
      <c r="F42" t="s">
        <v>82</v>
      </c>
      <c r="G42" t="s">
        <v>100</v>
      </c>
      <c r="H42">
        <v>240885</v>
      </c>
      <c r="I42">
        <v>240912</v>
      </c>
      <c r="J42">
        <v>245607</v>
      </c>
      <c r="K42">
        <v>254935</v>
      </c>
      <c r="L42">
        <v>263957</v>
      </c>
      <c r="M42">
        <v>268590</v>
      </c>
      <c r="N42">
        <v>268590</v>
      </c>
      <c r="O42">
        <v>264206</v>
      </c>
      <c r="P42">
        <v>257707</v>
      </c>
      <c r="Q42">
        <v>251488</v>
      </c>
      <c r="R42">
        <v>246855</v>
      </c>
      <c r="S42">
        <v>241536</v>
      </c>
      <c r="T42">
        <v>238053</v>
      </c>
      <c r="U42">
        <v>236499</v>
      </c>
      <c r="V42">
        <v>242097</v>
      </c>
      <c r="W42">
        <v>251830</v>
      </c>
      <c r="X42">
        <v>265511</v>
      </c>
      <c r="Y42">
        <v>274840</v>
      </c>
      <c r="Z42">
        <v>278229</v>
      </c>
      <c r="AA42">
        <v>277918</v>
      </c>
      <c r="AB42">
        <v>276083</v>
      </c>
      <c r="AC42">
        <v>273938</v>
      </c>
      <c r="AD42">
        <v>267533</v>
      </c>
      <c r="AE42">
        <v>262060</v>
      </c>
      <c r="AF42">
        <v>258951</v>
      </c>
      <c r="AG42">
        <v>262558</v>
      </c>
      <c r="AH42">
        <v>271450</v>
      </c>
      <c r="AI42">
        <v>283888</v>
      </c>
      <c r="AJ42">
        <v>296605</v>
      </c>
      <c r="AK42">
        <v>308390</v>
      </c>
      <c r="AL42">
        <v>317998</v>
      </c>
      <c r="AM42">
        <v>324217</v>
      </c>
      <c r="AN42">
        <v>323284</v>
      </c>
      <c r="AO42">
        <v>321120</v>
      </c>
      <c r="AP42">
        <v>317288</v>
      </c>
      <c r="AQ42">
        <v>311267</v>
      </c>
      <c r="AR42">
        <v>302967</v>
      </c>
      <c r="AS42">
        <v>303000</v>
      </c>
      <c r="AT42">
        <v>316633</v>
      </c>
      <c r="AU42">
        <v>339633</v>
      </c>
      <c r="AV42">
        <v>351267</v>
      </c>
      <c r="AW42">
        <v>352763</v>
      </c>
      <c r="AX42">
        <v>344730</v>
      </c>
      <c r="AY42">
        <v>338063</v>
      </c>
    </row>
    <row r="43" spans="1:51" x14ac:dyDescent="0.25">
      <c r="A43">
        <v>395238</v>
      </c>
      <c r="B43" t="str">
        <f>IF(E43='Mortgage Calculator'!$H$8,"True","False")</f>
        <v>False</v>
      </c>
      <c r="C43">
        <v>57</v>
      </c>
      <c r="D43" t="s">
        <v>170</v>
      </c>
      <c r="E43" t="s">
        <v>293</v>
      </c>
      <c r="F43" t="s">
        <v>82</v>
      </c>
      <c r="G43" t="s">
        <v>100</v>
      </c>
      <c r="H43">
        <v>278649</v>
      </c>
      <c r="I43">
        <v>281805</v>
      </c>
      <c r="J43">
        <v>287889</v>
      </c>
      <c r="K43">
        <v>297415</v>
      </c>
      <c r="L43">
        <v>307002</v>
      </c>
      <c r="M43">
        <v>313658</v>
      </c>
      <c r="N43">
        <v>315601</v>
      </c>
      <c r="O43">
        <v>314964</v>
      </c>
      <c r="P43">
        <v>313372</v>
      </c>
      <c r="Q43">
        <v>309836</v>
      </c>
      <c r="R43">
        <v>306970</v>
      </c>
      <c r="S43">
        <v>302224</v>
      </c>
      <c r="T43">
        <v>300345</v>
      </c>
      <c r="U43">
        <v>302256</v>
      </c>
      <c r="V43">
        <v>311779</v>
      </c>
      <c r="W43">
        <v>324806</v>
      </c>
      <c r="X43">
        <v>335921</v>
      </c>
      <c r="Y43">
        <v>343916</v>
      </c>
      <c r="Z43">
        <v>344903</v>
      </c>
      <c r="AA43">
        <v>341718</v>
      </c>
      <c r="AB43">
        <v>336622</v>
      </c>
      <c r="AC43">
        <v>333437</v>
      </c>
      <c r="AD43">
        <v>331877</v>
      </c>
      <c r="AE43">
        <v>330125</v>
      </c>
      <c r="AF43">
        <v>329169</v>
      </c>
      <c r="AG43">
        <v>330761</v>
      </c>
      <c r="AH43">
        <v>340762</v>
      </c>
      <c r="AI43">
        <v>351878</v>
      </c>
      <c r="AJ43">
        <v>363981</v>
      </c>
      <c r="AK43">
        <v>371976</v>
      </c>
      <c r="AL43">
        <v>378377</v>
      </c>
      <c r="AM43">
        <v>381881</v>
      </c>
      <c r="AN43">
        <v>381530</v>
      </c>
      <c r="AO43">
        <v>382464</v>
      </c>
      <c r="AP43">
        <v>385349</v>
      </c>
      <c r="AQ43">
        <v>391300</v>
      </c>
    </row>
    <row r="44" spans="1:51" x14ac:dyDescent="0.25">
      <c r="A44">
        <v>394358</v>
      </c>
      <c r="B44" t="str">
        <f>IF(E44='Mortgage Calculator'!$H$8,"True","False")</f>
        <v>False</v>
      </c>
      <c r="C44">
        <v>20</v>
      </c>
      <c r="D44" t="s">
        <v>115</v>
      </c>
      <c r="E44" t="s">
        <v>256</v>
      </c>
      <c r="F44" t="s">
        <v>82</v>
      </c>
      <c r="G44" t="s">
        <v>116</v>
      </c>
      <c r="H44">
        <v>303233</v>
      </c>
      <c r="I44">
        <v>299900</v>
      </c>
      <c r="J44">
        <v>304933</v>
      </c>
      <c r="K44">
        <v>313300</v>
      </c>
      <c r="L44">
        <v>326633</v>
      </c>
      <c r="M44">
        <v>337967</v>
      </c>
      <c r="N44">
        <v>345967</v>
      </c>
      <c r="O44">
        <v>345967</v>
      </c>
      <c r="P44">
        <v>341467</v>
      </c>
      <c r="Q44">
        <v>335130</v>
      </c>
      <c r="R44">
        <v>328497</v>
      </c>
      <c r="S44">
        <v>319997</v>
      </c>
      <c r="T44">
        <v>313333</v>
      </c>
      <c r="U44">
        <v>311667</v>
      </c>
      <c r="V44">
        <v>316667</v>
      </c>
      <c r="W44">
        <v>327699</v>
      </c>
      <c r="X44">
        <v>339366</v>
      </c>
      <c r="Y44">
        <v>347699</v>
      </c>
      <c r="Z44">
        <v>350000</v>
      </c>
      <c r="AA44">
        <v>349967</v>
      </c>
      <c r="AB44">
        <v>346600</v>
      </c>
      <c r="AC44">
        <v>341600</v>
      </c>
      <c r="AD44">
        <v>334633</v>
      </c>
      <c r="AE44">
        <v>327967</v>
      </c>
      <c r="AF44">
        <v>322933</v>
      </c>
      <c r="AG44">
        <v>323233</v>
      </c>
      <c r="AH44">
        <v>329933</v>
      </c>
      <c r="AI44">
        <v>339443</v>
      </c>
      <c r="AJ44">
        <v>347810</v>
      </c>
      <c r="AK44">
        <v>356143</v>
      </c>
      <c r="AL44">
        <v>363167</v>
      </c>
      <c r="AM44">
        <v>364833</v>
      </c>
      <c r="AN44">
        <v>361500</v>
      </c>
      <c r="AO44">
        <v>355000</v>
      </c>
      <c r="AP44">
        <v>348300</v>
      </c>
      <c r="AQ44">
        <v>339967</v>
      </c>
      <c r="AR44">
        <v>332967</v>
      </c>
      <c r="AS44">
        <v>332967</v>
      </c>
      <c r="AT44">
        <v>339633</v>
      </c>
      <c r="AU44">
        <v>346633</v>
      </c>
      <c r="AV44">
        <v>355000</v>
      </c>
      <c r="AW44">
        <v>358300</v>
      </c>
      <c r="AX44">
        <v>361600</v>
      </c>
      <c r="AY44">
        <v>356567</v>
      </c>
    </row>
    <row r="45" spans="1:51" x14ac:dyDescent="0.25">
      <c r="A45">
        <v>394532</v>
      </c>
      <c r="B45" t="str">
        <f>IF(E45='Mortgage Calculator'!$H$8,"True","False")</f>
        <v>False</v>
      </c>
      <c r="C45">
        <v>12</v>
      </c>
      <c r="D45" t="s">
        <v>102</v>
      </c>
      <c r="E45" t="s">
        <v>248</v>
      </c>
      <c r="F45" t="s">
        <v>82</v>
      </c>
      <c r="G45" t="s">
        <v>103</v>
      </c>
      <c r="H45">
        <v>219933</v>
      </c>
      <c r="I45">
        <v>218267</v>
      </c>
      <c r="J45">
        <v>224933</v>
      </c>
      <c r="K45">
        <v>238633</v>
      </c>
      <c r="L45">
        <v>253633</v>
      </c>
      <c r="M45">
        <v>263333</v>
      </c>
      <c r="N45">
        <v>264633</v>
      </c>
      <c r="O45">
        <v>259600</v>
      </c>
      <c r="P45">
        <v>251600</v>
      </c>
      <c r="Q45">
        <v>244633</v>
      </c>
      <c r="R45">
        <v>237967</v>
      </c>
      <c r="S45">
        <v>231267</v>
      </c>
      <c r="T45">
        <v>226567</v>
      </c>
      <c r="U45">
        <v>226567</v>
      </c>
      <c r="V45">
        <v>233267</v>
      </c>
      <c r="W45">
        <v>246600</v>
      </c>
      <c r="X45">
        <v>259933</v>
      </c>
      <c r="Y45">
        <v>269900</v>
      </c>
      <c r="Z45">
        <v>271267</v>
      </c>
      <c r="AA45">
        <v>267633</v>
      </c>
      <c r="AB45">
        <v>258667</v>
      </c>
      <c r="AC45">
        <v>248967</v>
      </c>
      <c r="AD45">
        <v>239300</v>
      </c>
      <c r="AE45">
        <v>231633</v>
      </c>
      <c r="AF45">
        <v>225833</v>
      </c>
      <c r="AG45">
        <v>224133</v>
      </c>
      <c r="AH45">
        <v>228300</v>
      </c>
      <c r="AI45">
        <v>234133</v>
      </c>
      <c r="AJ45">
        <v>245800</v>
      </c>
      <c r="AK45">
        <v>261600</v>
      </c>
      <c r="AL45">
        <v>278233</v>
      </c>
      <c r="AM45">
        <v>286567</v>
      </c>
      <c r="AN45">
        <v>283266</v>
      </c>
      <c r="AO45">
        <v>277966</v>
      </c>
      <c r="AP45">
        <v>271333</v>
      </c>
      <c r="AQ45">
        <v>264667</v>
      </c>
      <c r="AR45">
        <v>259967</v>
      </c>
      <c r="AS45">
        <v>261600</v>
      </c>
      <c r="AT45">
        <v>270553</v>
      </c>
      <c r="AU45">
        <v>283253</v>
      </c>
      <c r="AV45">
        <v>293212</v>
      </c>
      <c r="AW45">
        <v>298926</v>
      </c>
      <c r="AX45">
        <v>294592</v>
      </c>
      <c r="AY45">
        <v>284667</v>
      </c>
    </row>
    <row r="46" spans="1:51" x14ac:dyDescent="0.25">
      <c r="A46">
        <v>394640</v>
      </c>
      <c r="B46" t="str">
        <f>IF(E46='Mortgage Calculator'!$H$8,"True","False")</f>
        <v>False</v>
      </c>
      <c r="C46">
        <v>52</v>
      </c>
      <c r="D46" t="s">
        <v>164</v>
      </c>
      <c r="E46" t="s">
        <v>288</v>
      </c>
      <c r="F46" t="s">
        <v>82</v>
      </c>
      <c r="G46" t="s">
        <v>103</v>
      </c>
      <c r="H46">
        <v>251813</v>
      </c>
      <c r="I46">
        <v>259831</v>
      </c>
      <c r="J46">
        <v>271088</v>
      </c>
      <c r="K46">
        <v>280630</v>
      </c>
      <c r="L46">
        <v>287012</v>
      </c>
      <c r="M46">
        <v>288616</v>
      </c>
      <c r="N46">
        <v>287012</v>
      </c>
      <c r="O46">
        <v>282394</v>
      </c>
      <c r="P46">
        <v>277551</v>
      </c>
      <c r="Q46">
        <v>274519</v>
      </c>
      <c r="R46">
        <v>275931</v>
      </c>
      <c r="S46">
        <v>277534</v>
      </c>
      <c r="T46">
        <v>278930</v>
      </c>
      <c r="U46">
        <v>281848</v>
      </c>
      <c r="V46">
        <v>287974</v>
      </c>
      <c r="W46">
        <v>296024</v>
      </c>
      <c r="X46">
        <v>301124</v>
      </c>
      <c r="Y46">
        <v>301412</v>
      </c>
      <c r="Z46">
        <v>299135</v>
      </c>
      <c r="AA46">
        <v>294324</v>
      </c>
      <c r="AB46">
        <v>290797</v>
      </c>
      <c r="AC46">
        <v>285024</v>
      </c>
      <c r="AD46">
        <v>281816</v>
      </c>
      <c r="AE46">
        <v>278930</v>
      </c>
      <c r="AF46">
        <v>281848</v>
      </c>
      <c r="AG46">
        <v>286659</v>
      </c>
      <c r="AH46">
        <v>294677</v>
      </c>
      <c r="AI46">
        <v>301380</v>
      </c>
      <c r="AJ46">
        <v>306191</v>
      </c>
      <c r="AK46">
        <v>307827</v>
      </c>
      <c r="AL46">
        <v>309430</v>
      </c>
      <c r="AM46">
        <v>309462</v>
      </c>
      <c r="AN46">
        <v>309430</v>
      </c>
      <c r="AO46">
        <v>308562</v>
      </c>
      <c r="AP46">
        <v>311898</v>
      </c>
      <c r="AQ46">
        <v>315933</v>
      </c>
      <c r="AR46">
        <v>320933</v>
      </c>
      <c r="AS46">
        <v>328267</v>
      </c>
      <c r="AT46">
        <v>335996</v>
      </c>
      <c r="AU46">
        <v>343734</v>
      </c>
      <c r="AV46">
        <v>348734</v>
      </c>
      <c r="AW46">
        <v>352672</v>
      </c>
      <c r="AX46">
        <v>356267</v>
      </c>
      <c r="AY46">
        <v>354633</v>
      </c>
    </row>
    <row r="47" spans="1:51" x14ac:dyDescent="0.25">
      <c r="A47">
        <v>394865</v>
      </c>
      <c r="B47" t="str">
        <f>IF(E47='Mortgage Calculator'!$H$8,"True","False")</f>
        <v>False</v>
      </c>
      <c r="C47">
        <v>16</v>
      </c>
      <c r="D47" t="s">
        <v>109</v>
      </c>
      <c r="E47" t="s">
        <v>252</v>
      </c>
      <c r="F47" t="s">
        <v>82</v>
      </c>
      <c r="G47" t="s">
        <v>110</v>
      </c>
      <c r="H47">
        <v>354455</v>
      </c>
      <c r="I47">
        <v>371734</v>
      </c>
      <c r="J47">
        <v>387317</v>
      </c>
      <c r="K47">
        <v>392961</v>
      </c>
      <c r="L47">
        <v>391230</v>
      </c>
      <c r="M47">
        <v>383300</v>
      </c>
      <c r="N47">
        <v>374643</v>
      </c>
      <c r="O47">
        <v>367406</v>
      </c>
      <c r="P47">
        <v>359787</v>
      </c>
      <c r="Q47">
        <v>355978</v>
      </c>
      <c r="R47">
        <v>351096</v>
      </c>
      <c r="S47">
        <v>351061</v>
      </c>
      <c r="T47">
        <v>356567</v>
      </c>
      <c r="U47">
        <v>368721</v>
      </c>
      <c r="V47">
        <v>384304</v>
      </c>
      <c r="W47">
        <v>392961</v>
      </c>
      <c r="X47">
        <v>394693</v>
      </c>
      <c r="Y47">
        <v>387802</v>
      </c>
      <c r="Z47">
        <v>382349</v>
      </c>
      <c r="AA47">
        <v>373692</v>
      </c>
      <c r="AB47">
        <v>368464</v>
      </c>
      <c r="AC47">
        <v>361796</v>
      </c>
      <c r="AD47">
        <v>361363</v>
      </c>
      <c r="AE47">
        <v>361398</v>
      </c>
      <c r="AF47">
        <v>368358</v>
      </c>
      <c r="AG47">
        <v>379145</v>
      </c>
      <c r="AH47">
        <v>389498</v>
      </c>
      <c r="AI47">
        <v>392961</v>
      </c>
      <c r="AJ47">
        <v>392747</v>
      </c>
      <c r="AK47">
        <v>392747</v>
      </c>
      <c r="AL47">
        <v>394443</v>
      </c>
      <c r="AM47">
        <v>392927</v>
      </c>
      <c r="AN47">
        <v>386036</v>
      </c>
      <c r="AO47">
        <v>377413</v>
      </c>
      <c r="AP47">
        <v>368791</v>
      </c>
      <c r="AQ47">
        <v>368756</v>
      </c>
      <c r="AR47">
        <v>370826</v>
      </c>
      <c r="AS47">
        <v>378960</v>
      </c>
      <c r="AT47">
        <v>386997</v>
      </c>
      <c r="AU47">
        <v>391963</v>
      </c>
      <c r="AV47">
        <v>392225</v>
      </c>
      <c r="AW47">
        <v>387895</v>
      </c>
      <c r="AX47">
        <v>384562</v>
      </c>
      <c r="AY47">
        <v>379148</v>
      </c>
    </row>
    <row r="48" spans="1:51" x14ac:dyDescent="0.25">
      <c r="A48">
        <v>394735</v>
      </c>
      <c r="B48" t="str">
        <f>IF(E48='Mortgage Calculator'!$H$8,"True","False")</f>
        <v>False</v>
      </c>
      <c r="C48">
        <v>30</v>
      </c>
      <c r="D48" t="s">
        <v>130</v>
      </c>
      <c r="E48" t="s">
        <v>266</v>
      </c>
      <c r="F48" t="s">
        <v>82</v>
      </c>
      <c r="G48" t="s">
        <v>113</v>
      </c>
      <c r="H48">
        <v>254933</v>
      </c>
      <c r="I48">
        <v>259967</v>
      </c>
      <c r="J48">
        <v>269633</v>
      </c>
      <c r="K48">
        <v>274633</v>
      </c>
      <c r="L48">
        <v>277317</v>
      </c>
      <c r="M48">
        <v>275983</v>
      </c>
      <c r="N48">
        <v>274983</v>
      </c>
      <c r="O48">
        <v>272300</v>
      </c>
      <c r="P48">
        <v>272633</v>
      </c>
      <c r="Q48">
        <v>280300</v>
      </c>
      <c r="R48">
        <v>286967</v>
      </c>
      <c r="S48">
        <v>293300</v>
      </c>
      <c r="T48">
        <v>296600</v>
      </c>
      <c r="U48">
        <v>306633</v>
      </c>
      <c r="V48">
        <v>319933</v>
      </c>
      <c r="W48">
        <v>331283</v>
      </c>
      <c r="X48">
        <v>337917</v>
      </c>
      <c r="Y48">
        <v>336267</v>
      </c>
      <c r="Z48">
        <v>329933</v>
      </c>
      <c r="AA48">
        <v>319933</v>
      </c>
      <c r="AB48">
        <v>312950</v>
      </c>
      <c r="AC48">
        <v>307967</v>
      </c>
      <c r="AD48">
        <v>304667</v>
      </c>
      <c r="AE48">
        <v>301667</v>
      </c>
      <c r="AF48">
        <v>306333</v>
      </c>
      <c r="AG48">
        <v>316333</v>
      </c>
      <c r="AH48">
        <v>332633</v>
      </c>
      <c r="AI48">
        <v>342633</v>
      </c>
      <c r="AJ48">
        <v>352633</v>
      </c>
      <c r="AK48">
        <v>359633</v>
      </c>
      <c r="AL48">
        <v>364933</v>
      </c>
      <c r="AM48">
        <v>361600</v>
      </c>
      <c r="AN48">
        <v>353300</v>
      </c>
      <c r="AO48">
        <v>344167</v>
      </c>
      <c r="AP48">
        <v>339167</v>
      </c>
      <c r="AQ48">
        <v>335833</v>
      </c>
      <c r="AR48">
        <v>336650</v>
      </c>
      <c r="AS48">
        <v>347717</v>
      </c>
      <c r="AT48">
        <v>362717</v>
      </c>
      <c r="AU48">
        <v>379067</v>
      </c>
      <c r="AV48">
        <v>384650</v>
      </c>
      <c r="AW48">
        <v>381283</v>
      </c>
      <c r="AX48">
        <v>368283</v>
      </c>
      <c r="AY48">
        <v>354967</v>
      </c>
    </row>
    <row r="49" spans="1:51" x14ac:dyDescent="0.25">
      <c r="A49">
        <v>395121</v>
      </c>
      <c r="B49" t="str">
        <f>IF(E49='Mortgage Calculator'!$H$8,"True","False")</f>
        <v>False</v>
      </c>
      <c r="C49">
        <v>18</v>
      </c>
      <c r="D49" t="s">
        <v>112</v>
      </c>
      <c r="E49" t="s">
        <v>254</v>
      </c>
      <c r="F49" t="s">
        <v>82</v>
      </c>
      <c r="G49" t="s">
        <v>113</v>
      </c>
      <c r="H49">
        <v>197175</v>
      </c>
      <c r="I49">
        <v>197657</v>
      </c>
      <c r="J49">
        <v>203134</v>
      </c>
      <c r="K49">
        <v>211780</v>
      </c>
      <c r="L49">
        <v>220392</v>
      </c>
      <c r="M49">
        <v>225559</v>
      </c>
      <c r="N49">
        <v>227006</v>
      </c>
      <c r="O49">
        <v>226696</v>
      </c>
      <c r="P49">
        <v>226386</v>
      </c>
      <c r="Q49">
        <v>224939</v>
      </c>
      <c r="R49">
        <v>221839</v>
      </c>
      <c r="S49">
        <v>216982</v>
      </c>
      <c r="T49">
        <v>213158</v>
      </c>
      <c r="U49">
        <v>214846</v>
      </c>
      <c r="V49">
        <v>223148</v>
      </c>
      <c r="W49">
        <v>235239</v>
      </c>
      <c r="X49">
        <v>245573</v>
      </c>
      <c r="Y49">
        <v>251084</v>
      </c>
      <c r="Z49">
        <v>252035</v>
      </c>
      <c r="AA49">
        <v>250313</v>
      </c>
      <c r="AB49">
        <v>248556</v>
      </c>
      <c r="AC49">
        <v>246193</v>
      </c>
      <c r="AD49">
        <v>242748</v>
      </c>
      <c r="AE49">
        <v>237615</v>
      </c>
      <c r="AF49">
        <v>236100</v>
      </c>
      <c r="AG49">
        <v>239544</v>
      </c>
      <c r="AH49">
        <v>245745</v>
      </c>
      <c r="AI49">
        <v>251256</v>
      </c>
      <c r="AJ49">
        <v>257801</v>
      </c>
      <c r="AK49">
        <v>263967</v>
      </c>
      <c r="AL49">
        <v>268583</v>
      </c>
      <c r="AM49">
        <v>268063</v>
      </c>
      <c r="AN49">
        <v>266341</v>
      </c>
      <c r="AO49">
        <v>263929</v>
      </c>
      <c r="AP49">
        <v>261039</v>
      </c>
      <c r="AQ49">
        <v>255562</v>
      </c>
      <c r="AR49">
        <v>251612</v>
      </c>
      <c r="AS49">
        <v>252473</v>
      </c>
      <c r="AT49">
        <v>258133</v>
      </c>
      <c r="AU49">
        <v>265800</v>
      </c>
      <c r="AV49">
        <v>265800</v>
      </c>
      <c r="AW49">
        <v>263233</v>
      </c>
      <c r="AX49">
        <v>255700</v>
      </c>
      <c r="AY49">
        <v>249033</v>
      </c>
    </row>
    <row r="50" spans="1:51" x14ac:dyDescent="0.25">
      <c r="A50">
        <v>394458</v>
      </c>
      <c r="B50" t="str">
        <f>IF(E50='Mortgage Calculator'!$H$8,"True","False")</f>
        <v>False</v>
      </c>
      <c r="C50">
        <v>24</v>
      </c>
      <c r="D50" t="s">
        <v>122</v>
      </c>
      <c r="E50" t="s">
        <v>260</v>
      </c>
      <c r="F50" t="s">
        <v>82</v>
      </c>
      <c r="G50" t="s">
        <v>123</v>
      </c>
      <c r="H50">
        <v>337967</v>
      </c>
      <c r="I50">
        <v>338000</v>
      </c>
      <c r="J50">
        <v>343000</v>
      </c>
      <c r="K50">
        <v>349667</v>
      </c>
      <c r="L50">
        <v>356300</v>
      </c>
      <c r="M50">
        <v>358781</v>
      </c>
      <c r="N50">
        <v>355764</v>
      </c>
      <c r="O50">
        <v>349176</v>
      </c>
      <c r="P50">
        <v>342028</v>
      </c>
      <c r="Q50">
        <v>335378</v>
      </c>
      <c r="R50">
        <v>330525</v>
      </c>
      <c r="S50">
        <v>326825</v>
      </c>
      <c r="T50">
        <v>325158</v>
      </c>
      <c r="U50">
        <v>328300</v>
      </c>
      <c r="V50">
        <v>335000</v>
      </c>
      <c r="W50">
        <v>343333</v>
      </c>
      <c r="X50">
        <v>351633</v>
      </c>
      <c r="Y50">
        <v>356033</v>
      </c>
      <c r="Z50">
        <v>356033</v>
      </c>
      <c r="AA50">
        <v>352067</v>
      </c>
      <c r="AB50">
        <v>346967</v>
      </c>
      <c r="AC50">
        <v>344300</v>
      </c>
      <c r="AD50">
        <v>341633</v>
      </c>
      <c r="AE50">
        <v>342167</v>
      </c>
      <c r="AF50">
        <v>343035</v>
      </c>
      <c r="AG50">
        <v>346369</v>
      </c>
      <c r="AH50">
        <v>351202</v>
      </c>
      <c r="AI50">
        <v>352967</v>
      </c>
      <c r="AJ50">
        <v>357633</v>
      </c>
      <c r="AK50">
        <v>362967</v>
      </c>
      <c r="AL50">
        <v>374167</v>
      </c>
      <c r="AM50">
        <v>379540</v>
      </c>
      <c r="AN50">
        <v>381622</v>
      </c>
      <c r="AO50">
        <v>378455</v>
      </c>
      <c r="AP50">
        <v>376715</v>
      </c>
      <c r="AQ50">
        <v>374630</v>
      </c>
      <c r="AR50">
        <v>374597</v>
      </c>
      <c r="AS50">
        <v>376297</v>
      </c>
      <c r="AT50">
        <v>382530</v>
      </c>
      <c r="AU50">
        <v>394530</v>
      </c>
      <c r="AV50">
        <v>407526</v>
      </c>
      <c r="AW50">
        <v>414630</v>
      </c>
      <c r="AX50">
        <v>414663</v>
      </c>
      <c r="AY50">
        <v>408632</v>
      </c>
    </row>
    <row r="51" spans="1:51" x14ac:dyDescent="0.25">
      <c r="A51">
        <v>394549</v>
      </c>
      <c r="B51" t="str">
        <f>IF(E51='Mortgage Calculator'!$H$8,"True","False")</f>
        <v>False</v>
      </c>
      <c r="C51">
        <v>104</v>
      </c>
      <c r="D51" t="s">
        <v>213</v>
      </c>
      <c r="E51" t="s">
        <v>329</v>
      </c>
      <c r="F51" t="s">
        <v>82</v>
      </c>
      <c r="G51" t="s">
        <v>123</v>
      </c>
      <c r="H51">
        <v>369400</v>
      </c>
      <c r="I51">
        <v>374025</v>
      </c>
      <c r="J51">
        <v>382042</v>
      </c>
      <c r="K51">
        <v>390059</v>
      </c>
      <c r="L51">
        <v>393930</v>
      </c>
      <c r="M51">
        <v>391124</v>
      </c>
      <c r="N51">
        <v>386499</v>
      </c>
      <c r="O51">
        <v>378003</v>
      </c>
      <c r="P51">
        <v>373100</v>
      </c>
      <c r="Q51">
        <v>370016</v>
      </c>
      <c r="R51">
        <v>369708</v>
      </c>
      <c r="S51">
        <v>369400</v>
      </c>
      <c r="T51">
        <v>369092</v>
      </c>
      <c r="U51">
        <v>374251</v>
      </c>
      <c r="V51">
        <v>383779</v>
      </c>
      <c r="W51">
        <v>393338</v>
      </c>
      <c r="X51">
        <v>397737</v>
      </c>
      <c r="Y51">
        <v>397120</v>
      </c>
      <c r="Z51">
        <v>394037</v>
      </c>
      <c r="AA51">
        <v>387870</v>
      </c>
      <c r="AB51">
        <v>379267</v>
      </c>
      <c r="AC51">
        <v>370017</v>
      </c>
      <c r="AD51">
        <v>365391</v>
      </c>
      <c r="AE51">
        <v>365361</v>
      </c>
      <c r="AF51">
        <v>372113</v>
      </c>
      <c r="AG51">
        <v>382905</v>
      </c>
      <c r="AH51">
        <v>396812</v>
      </c>
      <c r="AI51">
        <v>402085</v>
      </c>
      <c r="AJ51">
        <v>403904</v>
      </c>
      <c r="AK51">
        <v>405446</v>
      </c>
      <c r="AL51">
        <v>414388</v>
      </c>
      <c r="AM51">
        <v>424594</v>
      </c>
      <c r="AN51">
        <v>429219</v>
      </c>
      <c r="AO51">
        <v>432073</v>
      </c>
      <c r="AP51">
        <v>431504</v>
      </c>
      <c r="AQ51">
        <v>428966</v>
      </c>
      <c r="AR51">
        <v>426292</v>
      </c>
      <c r="AS51">
        <v>426150</v>
      </c>
      <c r="AT51">
        <v>435307</v>
      </c>
      <c r="AU51">
        <v>456737</v>
      </c>
      <c r="AV51">
        <v>471300</v>
      </c>
      <c r="AW51">
        <v>480967</v>
      </c>
      <c r="AX51">
        <v>473133</v>
      </c>
      <c r="AY51">
        <v>471000</v>
      </c>
    </row>
    <row r="52" spans="1:51" x14ac:dyDescent="0.25">
      <c r="A52">
        <v>394648</v>
      </c>
      <c r="B52" t="str">
        <f>IF(E52='Mortgage Calculator'!$H$8,"True","False")</f>
        <v>False</v>
      </c>
      <c r="C52">
        <v>73</v>
      </c>
      <c r="D52" t="s">
        <v>189</v>
      </c>
      <c r="E52" t="s">
        <v>309</v>
      </c>
      <c r="F52" t="s">
        <v>82</v>
      </c>
      <c r="G52" t="s">
        <v>123</v>
      </c>
      <c r="H52">
        <v>195250</v>
      </c>
      <c r="I52">
        <v>198633</v>
      </c>
      <c r="J52">
        <v>206667</v>
      </c>
      <c r="K52">
        <v>218633</v>
      </c>
      <c r="L52">
        <v>229600</v>
      </c>
      <c r="M52">
        <v>235233</v>
      </c>
      <c r="N52">
        <v>241900</v>
      </c>
      <c r="O52">
        <v>248567</v>
      </c>
      <c r="P52">
        <v>255983</v>
      </c>
      <c r="Q52">
        <v>257350</v>
      </c>
      <c r="R52">
        <v>254017</v>
      </c>
      <c r="S52">
        <v>249633</v>
      </c>
      <c r="T52">
        <v>248300</v>
      </c>
      <c r="U52">
        <v>251633</v>
      </c>
      <c r="V52">
        <v>259933</v>
      </c>
      <c r="W52">
        <v>269900</v>
      </c>
      <c r="X52">
        <v>279900</v>
      </c>
      <c r="Y52">
        <v>281600</v>
      </c>
      <c r="Z52">
        <v>279480</v>
      </c>
      <c r="AA52">
        <v>271480</v>
      </c>
      <c r="AB52">
        <v>269480</v>
      </c>
      <c r="AC52">
        <v>266600</v>
      </c>
      <c r="AD52">
        <v>265600</v>
      </c>
      <c r="AE52">
        <v>263433</v>
      </c>
      <c r="AF52">
        <v>261663</v>
      </c>
      <c r="AG52">
        <v>260845</v>
      </c>
      <c r="AH52">
        <v>263011</v>
      </c>
      <c r="AI52">
        <v>263115</v>
      </c>
      <c r="AJ52">
        <v>269600</v>
      </c>
      <c r="AK52">
        <v>277700</v>
      </c>
      <c r="AL52">
        <v>288400</v>
      </c>
      <c r="AM52">
        <v>293733</v>
      </c>
      <c r="AN52">
        <v>289267</v>
      </c>
      <c r="AO52">
        <v>281900</v>
      </c>
      <c r="AP52">
        <v>270233</v>
      </c>
      <c r="AQ52">
        <v>263763</v>
      </c>
      <c r="AR52">
        <v>262097</v>
      </c>
      <c r="AS52">
        <v>260097</v>
      </c>
      <c r="AT52">
        <v>263233</v>
      </c>
      <c r="AU52">
        <v>267767</v>
      </c>
      <c r="AV52">
        <v>272767</v>
      </c>
      <c r="AW52">
        <v>275633</v>
      </c>
      <c r="AX52">
        <v>280100</v>
      </c>
      <c r="AY52">
        <v>283433</v>
      </c>
    </row>
    <row r="53" spans="1:51" x14ac:dyDescent="0.25">
      <c r="A53">
        <v>395012</v>
      </c>
      <c r="B53" t="str">
        <f>IF(E53='Mortgage Calculator'!$H$8,"True","False")</f>
        <v>False</v>
      </c>
      <c r="C53">
        <v>48</v>
      </c>
      <c r="D53" t="s">
        <v>158</v>
      </c>
      <c r="E53" t="s">
        <v>284</v>
      </c>
      <c r="F53" t="s">
        <v>82</v>
      </c>
      <c r="G53" t="s">
        <v>123</v>
      </c>
      <c r="H53">
        <v>357933</v>
      </c>
      <c r="I53">
        <v>359633</v>
      </c>
      <c r="J53">
        <v>366633</v>
      </c>
      <c r="K53">
        <v>376633</v>
      </c>
      <c r="L53">
        <v>383267</v>
      </c>
      <c r="M53">
        <v>383267</v>
      </c>
      <c r="N53">
        <v>381267</v>
      </c>
      <c r="O53">
        <v>377867</v>
      </c>
      <c r="P53">
        <v>374233</v>
      </c>
      <c r="Q53">
        <v>367567</v>
      </c>
      <c r="R53">
        <v>361908</v>
      </c>
      <c r="S53">
        <v>357242</v>
      </c>
      <c r="T53">
        <v>355242</v>
      </c>
      <c r="U53">
        <v>356000</v>
      </c>
      <c r="V53">
        <v>362667</v>
      </c>
      <c r="W53">
        <v>373333</v>
      </c>
      <c r="X53">
        <v>383300</v>
      </c>
      <c r="Y53">
        <v>386633</v>
      </c>
      <c r="Z53">
        <v>383600</v>
      </c>
      <c r="AA53">
        <v>378600</v>
      </c>
      <c r="AB53">
        <v>375233</v>
      </c>
      <c r="AC53">
        <v>373233</v>
      </c>
      <c r="AD53">
        <v>368900</v>
      </c>
      <c r="AE53">
        <v>363900</v>
      </c>
      <c r="AF53">
        <v>360567</v>
      </c>
      <c r="AG53">
        <v>363233</v>
      </c>
      <c r="AH53">
        <v>369600</v>
      </c>
      <c r="AI53">
        <v>373437</v>
      </c>
      <c r="AJ53">
        <v>379103</v>
      </c>
      <c r="AK53">
        <v>384437</v>
      </c>
      <c r="AL53">
        <v>393933</v>
      </c>
      <c r="AM53">
        <v>398967</v>
      </c>
      <c r="AN53">
        <v>402600</v>
      </c>
      <c r="AO53">
        <v>401800</v>
      </c>
      <c r="AP53">
        <v>398433</v>
      </c>
      <c r="AQ53">
        <v>395133</v>
      </c>
      <c r="AR53">
        <v>394300</v>
      </c>
      <c r="AS53">
        <v>398300</v>
      </c>
      <c r="AT53">
        <v>404267</v>
      </c>
      <c r="AU53">
        <v>412567</v>
      </c>
      <c r="AV53">
        <v>417973</v>
      </c>
      <c r="AW53">
        <v>421481</v>
      </c>
      <c r="AX53">
        <v>423181</v>
      </c>
      <c r="AY53">
        <v>426441</v>
      </c>
    </row>
    <row r="54" spans="1:51" x14ac:dyDescent="0.25">
      <c r="A54">
        <v>395235</v>
      </c>
      <c r="B54" t="str">
        <f>IF(E54='Mortgage Calculator'!$H$8,"True","False")</f>
        <v>False</v>
      </c>
      <c r="C54">
        <v>81</v>
      </c>
      <c r="D54" t="s">
        <v>198</v>
      </c>
      <c r="E54" t="s">
        <v>317</v>
      </c>
      <c r="F54" t="s">
        <v>82</v>
      </c>
      <c r="G54" t="s">
        <v>123</v>
      </c>
      <c r="H54">
        <v>209933</v>
      </c>
      <c r="I54">
        <v>211633</v>
      </c>
      <c r="J54">
        <v>213333</v>
      </c>
      <c r="K54">
        <v>216633</v>
      </c>
      <c r="L54">
        <v>218267</v>
      </c>
      <c r="M54">
        <v>221600</v>
      </c>
      <c r="N54">
        <v>231300</v>
      </c>
      <c r="O54">
        <v>242000</v>
      </c>
      <c r="P54">
        <v>250300</v>
      </c>
      <c r="Q54">
        <v>250267</v>
      </c>
      <c r="R54">
        <v>246565</v>
      </c>
      <c r="S54">
        <v>244598</v>
      </c>
      <c r="T54">
        <v>244598</v>
      </c>
      <c r="U54">
        <v>249267</v>
      </c>
      <c r="V54">
        <v>256267</v>
      </c>
      <c r="W54">
        <v>264967</v>
      </c>
      <c r="X54">
        <v>275300</v>
      </c>
      <c r="Y54">
        <v>281933</v>
      </c>
      <c r="Z54">
        <v>284933</v>
      </c>
      <c r="AA54">
        <v>282967</v>
      </c>
      <c r="AB54">
        <v>281333</v>
      </c>
      <c r="AC54">
        <v>279967</v>
      </c>
      <c r="AD54">
        <v>278300</v>
      </c>
      <c r="AE54">
        <v>275933</v>
      </c>
      <c r="AF54">
        <v>274133</v>
      </c>
      <c r="AG54">
        <v>278300</v>
      </c>
      <c r="AH54">
        <v>283967</v>
      </c>
      <c r="AI54">
        <v>286433</v>
      </c>
      <c r="AJ54">
        <v>290567</v>
      </c>
      <c r="AK54">
        <v>296933</v>
      </c>
      <c r="AL54">
        <v>306267</v>
      </c>
      <c r="AM54">
        <v>307649</v>
      </c>
      <c r="AN54">
        <v>303151</v>
      </c>
      <c r="AO54">
        <v>296484</v>
      </c>
      <c r="AP54">
        <v>289167</v>
      </c>
      <c r="AQ54">
        <v>283942</v>
      </c>
      <c r="AR54">
        <v>280808</v>
      </c>
      <c r="AS54">
        <v>280077</v>
      </c>
      <c r="AT54">
        <v>281960</v>
      </c>
      <c r="AU54">
        <v>283620</v>
      </c>
      <c r="AV54">
        <v>285440</v>
      </c>
      <c r="AW54">
        <v>286173</v>
      </c>
      <c r="AX54">
        <v>287647</v>
      </c>
      <c r="AY54">
        <v>289160</v>
      </c>
    </row>
    <row r="55" spans="1:51" x14ac:dyDescent="0.25">
      <c r="A55">
        <v>394938</v>
      </c>
      <c r="B55" t="str">
        <f>IF(E55='Mortgage Calculator'!$H$8,"True","False")</f>
        <v>False</v>
      </c>
      <c r="C55">
        <v>61</v>
      </c>
      <c r="D55" t="s">
        <v>175</v>
      </c>
      <c r="E55" t="s">
        <v>297</v>
      </c>
      <c r="F55" t="s">
        <v>82</v>
      </c>
      <c r="G55" t="s">
        <v>176</v>
      </c>
      <c r="H55">
        <v>279265</v>
      </c>
      <c r="I55">
        <v>287162</v>
      </c>
      <c r="J55">
        <v>295591</v>
      </c>
      <c r="K55">
        <v>305782</v>
      </c>
      <c r="L55">
        <v>311088</v>
      </c>
      <c r="M55">
        <v>311122</v>
      </c>
      <c r="N55">
        <v>307720</v>
      </c>
      <c r="O55">
        <v>304334</v>
      </c>
      <c r="P55">
        <v>301626</v>
      </c>
      <c r="Q55">
        <v>295261</v>
      </c>
      <c r="R55">
        <v>288795</v>
      </c>
      <c r="S55">
        <v>286425</v>
      </c>
      <c r="T55">
        <v>289388</v>
      </c>
      <c r="U55">
        <v>297885</v>
      </c>
      <c r="V55">
        <v>311427</v>
      </c>
      <c r="W55">
        <v>324292</v>
      </c>
      <c r="X55">
        <v>331029</v>
      </c>
      <c r="Y55">
        <v>327955</v>
      </c>
      <c r="Z55">
        <v>323982</v>
      </c>
      <c r="AA55">
        <v>318916</v>
      </c>
      <c r="AB55">
        <v>312848</v>
      </c>
      <c r="AC55">
        <v>303110</v>
      </c>
      <c r="AD55">
        <v>294804</v>
      </c>
      <c r="AE55">
        <v>292053</v>
      </c>
      <c r="AF55">
        <v>294626</v>
      </c>
      <c r="AG55">
        <v>303631</v>
      </c>
      <c r="AH55">
        <v>312625</v>
      </c>
      <c r="AI55">
        <v>319396</v>
      </c>
      <c r="AJ55">
        <v>323628</v>
      </c>
      <c r="AK55">
        <v>328185</v>
      </c>
      <c r="AL55">
        <v>332383</v>
      </c>
      <c r="AM55">
        <v>332552</v>
      </c>
      <c r="AN55">
        <v>328151</v>
      </c>
      <c r="AO55">
        <v>325171</v>
      </c>
      <c r="AP55">
        <v>321823</v>
      </c>
      <c r="AQ55">
        <v>321789</v>
      </c>
      <c r="AR55">
        <v>321646</v>
      </c>
      <c r="AS55">
        <v>328298</v>
      </c>
      <c r="AT55">
        <v>336047</v>
      </c>
      <c r="AU55">
        <v>343330</v>
      </c>
      <c r="AV55">
        <v>343333</v>
      </c>
      <c r="AW55">
        <v>334667</v>
      </c>
      <c r="AX55">
        <v>322833</v>
      </c>
      <c r="AY55">
        <v>313192</v>
      </c>
    </row>
    <row r="56" spans="1:51" x14ac:dyDescent="0.25">
      <c r="A56">
        <v>394312</v>
      </c>
      <c r="B56" t="str">
        <f>IF(E56='Mortgage Calculator'!$H$8,"True","False")</f>
        <v>False</v>
      </c>
      <c r="C56">
        <v>59</v>
      </c>
      <c r="D56" t="s">
        <v>172</v>
      </c>
      <c r="E56" t="s">
        <v>295</v>
      </c>
      <c r="F56" t="s">
        <v>82</v>
      </c>
      <c r="G56" t="s">
        <v>173</v>
      </c>
      <c r="H56">
        <v>238818</v>
      </c>
      <c r="I56">
        <v>240447</v>
      </c>
      <c r="J56">
        <v>245205</v>
      </c>
      <c r="K56">
        <v>251723</v>
      </c>
      <c r="L56">
        <v>257948</v>
      </c>
      <c r="M56">
        <v>261044</v>
      </c>
      <c r="N56">
        <v>259382</v>
      </c>
      <c r="O56">
        <v>254819</v>
      </c>
      <c r="P56">
        <v>249279</v>
      </c>
      <c r="Q56">
        <v>247650</v>
      </c>
      <c r="R56">
        <v>247650</v>
      </c>
      <c r="S56">
        <v>249198</v>
      </c>
      <c r="T56">
        <v>249230</v>
      </c>
      <c r="U56">
        <v>252457</v>
      </c>
      <c r="V56">
        <v>257427</v>
      </c>
      <c r="W56">
        <v>263945</v>
      </c>
      <c r="X56">
        <v>267725</v>
      </c>
      <c r="Y56">
        <v>270821</v>
      </c>
      <c r="Z56">
        <v>272353</v>
      </c>
      <c r="AA56">
        <v>273396</v>
      </c>
      <c r="AB56">
        <v>273233</v>
      </c>
      <c r="AC56">
        <v>273298</v>
      </c>
      <c r="AD56">
        <v>273070</v>
      </c>
      <c r="AE56">
        <v>271766</v>
      </c>
      <c r="AF56">
        <v>273396</v>
      </c>
      <c r="AG56">
        <v>279914</v>
      </c>
      <c r="AH56">
        <v>288061</v>
      </c>
      <c r="AI56">
        <v>292982</v>
      </c>
      <c r="AJ56">
        <v>299826</v>
      </c>
      <c r="AK56">
        <v>312862</v>
      </c>
      <c r="AL56">
        <v>327527</v>
      </c>
      <c r="AM56">
        <v>335688</v>
      </c>
      <c r="AN56">
        <v>336335</v>
      </c>
      <c r="AO56">
        <v>336531</v>
      </c>
      <c r="AP56">
        <v>335982</v>
      </c>
      <c r="AQ56">
        <v>336823</v>
      </c>
      <c r="AR56">
        <v>337525</v>
      </c>
      <c r="AS56">
        <v>339790</v>
      </c>
      <c r="AT56">
        <v>347493</v>
      </c>
      <c r="AU56">
        <v>354490</v>
      </c>
      <c r="AV56">
        <v>363687</v>
      </c>
      <c r="AW56">
        <v>366990</v>
      </c>
      <c r="AX56">
        <v>369960</v>
      </c>
      <c r="AY56">
        <v>369900</v>
      </c>
    </row>
    <row r="57" spans="1:51" x14ac:dyDescent="0.25">
      <c r="A57">
        <v>394775</v>
      </c>
      <c r="B57" t="str">
        <f>IF(E57='Mortgage Calculator'!$H$8,"True","False")</f>
        <v>False</v>
      </c>
      <c r="C57">
        <v>31</v>
      </c>
      <c r="D57" t="s">
        <v>131</v>
      </c>
      <c r="E57" t="s">
        <v>267</v>
      </c>
      <c r="F57" t="s">
        <v>82</v>
      </c>
      <c r="G57" t="s">
        <v>132</v>
      </c>
      <c r="H57">
        <v>290500</v>
      </c>
      <c r="I57">
        <v>292300</v>
      </c>
      <c r="J57">
        <v>295300</v>
      </c>
      <c r="K57">
        <v>306300</v>
      </c>
      <c r="L57">
        <v>324500</v>
      </c>
      <c r="M57">
        <v>341500</v>
      </c>
      <c r="N57">
        <v>349500</v>
      </c>
      <c r="O57">
        <v>347967</v>
      </c>
      <c r="P57">
        <v>341300</v>
      </c>
      <c r="Q57">
        <v>333297</v>
      </c>
      <c r="R57">
        <v>324963</v>
      </c>
      <c r="S57">
        <v>321597</v>
      </c>
      <c r="T57">
        <v>318233</v>
      </c>
      <c r="U57">
        <v>314933</v>
      </c>
      <c r="V57">
        <v>312299</v>
      </c>
      <c r="W57">
        <v>312833</v>
      </c>
      <c r="X57">
        <v>316167</v>
      </c>
      <c r="Y57">
        <v>320500</v>
      </c>
      <c r="Z57">
        <v>323333</v>
      </c>
      <c r="AA57">
        <v>324333</v>
      </c>
      <c r="AB57">
        <v>322633</v>
      </c>
      <c r="AC57">
        <v>320933</v>
      </c>
      <c r="AD57">
        <v>319933</v>
      </c>
      <c r="AE57">
        <v>319967</v>
      </c>
      <c r="AF57">
        <v>321629</v>
      </c>
      <c r="AG57">
        <v>325929</v>
      </c>
      <c r="AH57">
        <v>334263</v>
      </c>
      <c r="AI57">
        <v>335633</v>
      </c>
      <c r="AJ57">
        <v>333167</v>
      </c>
      <c r="AK57">
        <v>329800</v>
      </c>
      <c r="AL57">
        <v>334767</v>
      </c>
      <c r="AM57">
        <v>341267</v>
      </c>
      <c r="AN57">
        <v>344633</v>
      </c>
      <c r="AO57">
        <v>346333</v>
      </c>
      <c r="AP57">
        <v>346667</v>
      </c>
      <c r="AQ57">
        <v>346663</v>
      </c>
      <c r="AR57">
        <v>345330</v>
      </c>
      <c r="AS57">
        <v>344997</v>
      </c>
      <c r="AT57">
        <v>353333</v>
      </c>
      <c r="AU57">
        <v>370000</v>
      </c>
      <c r="AV57">
        <v>394967</v>
      </c>
      <c r="AW57">
        <v>414967</v>
      </c>
      <c r="AX57">
        <v>426633</v>
      </c>
      <c r="AY57">
        <v>435000</v>
      </c>
    </row>
    <row r="58" spans="1:51" x14ac:dyDescent="0.25">
      <c r="A58">
        <v>394308</v>
      </c>
      <c r="B58" t="str">
        <f>IF(E58='Mortgage Calculator'!$H$8,"True","False")</f>
        <v>False</v>
      </c>
      <c r="C58">
        <v>60</v>
      </c>
      <c r="D58" t="s">
        <v>174</v>
      </c>
      <c r="E58" t="s">
        <v>296</v>
      </c>
      <c r="F58" t="s">
        <v>82</v>
      </c>
      <c r="G58" t="s">
        <v>83</v>
      </c>
      <c r="H58">
        <v>234602</v>
      </c>
      <c r="I58">
        <v>238210</v>
      </c>
      <c r="J58">
        <v>242175</v>
      </c>
      <c r="K58">
        <v>243943</v>
      </c>
      <c r="L58">
        <v>245550</v>
      </c>
      <c r="M58">
        <v>247693</v>
      </c>
      <c r="N58">
        <v>251569</v>
      </c>
      <c r="O58">
        <v>254962</v>
      </c>
      <c r="P58">
        <v>254962</v>
      </c>
      <c r="Q58">
        <v>254121</v>
      </c>
      <c r="R58">
        <v>254299</v>
      </c>
      <c r="S58">
        <v>254299</v>
      </c>
      <c r="T58">
        <v>253426</v>
      </c>
      <c r="U58">
        <v>253426</v>
      </c>
      <c r="V58">
        <v>256963</v>
      </c>
      <c r="W58">
        <v>261963</v>
      </c>
      <c r="X58">
        <v>265678</v>
      </c>
      <c r="Y58">
        <v>267499</v>
      </c>
      <c r="Z58">
        <v>269607</v>
      </c>
      <c r="AA58">
        <v>269285</v>
      </c>
      <c r="AB58">
        <v>265678</v>
      </c>
      <c r="AC58">
        <v>262142</v>
      </c>
      <c r="AD58">
        <v>260713</v>
      </c>
      <c r="AE58">
        <v>260749</v>
      </c>
      <c r="AF58">
        <v>258927</v>
      </c>
      <c r="AG58">
        <v>259999</v>
      </c>
      <c r="AH58">
        <v>265356</v>
      </c>
      <c r="AI58">
        <v>272500</v>
      </c>
      <c r="AJ58">
        <v>280001</v>
      </c>
      <c r="AK58">
        <v>290681</v>
      </c>
      <c r="AL58">
        <v>301397</v>
      </c>
      <c r="AM58">
        <v>307112</v>
      </c>
      <c r="AQ58">
        <v>286115</v>
      </c>
    </row>
    <row r="59" spans="1:51" x14ac:dyDescent="0.25">
      <c r="A59">
        <v>394425</v>
      </c>
      <c r="B59" t="str">
        <f>IF(E59='Mortgage Calculator'!$H$8,"True","False")</f>
        <v>False</v>
      </c>
      <c r="C59">
        <v>47</v>
      </c>
      <c r="D59" t="s">
        <v>157</v>
      </c>
      <c r="E59" t="s">
        <v>283</v>
      </c>
      <c r="F59" t="s">
        <v>82</v>
      </c>
      <c r="G59" t="s">
        <v>83</v>
      </c>
      <c r="H59">
        <v>176331</v>
      </c>
      <c r="I59">
        <v>178044</v>
      </c>
      <c r="J59">
        <v>184895</v>
      </c>
      <c r="K59">
        <v>193494</v>
      </c>
      <c r="L59">
        <v>200346</v>
      </c>
      <c r="M59">
        <v>203772</v>
      </c>
      <c r="N59">
        <v>205451</v>
      </c>
      <c r="O59">
        <v>204629</v>
      </c>
      <c r="P59">
        <v>202950</v>
      </c>
      <c r="Q59">
        <v>199524</v>
      </c>
      <c r="R59">
        <v>195207</v>
      </c>
      <c r="S59">
        <v>190034</v>
      </c>
      <c r="T59">
        <v>186643</v>
      </c>
      <c r="U59">
        <v>187703</v>
      </c>
      <c r="V59">
        <v>191163</v>
      </c>
      <c r="W59">
        <v>197981</v>
      </c>
      <c r="X59">
        <v>204457</v>
      </c>
      <c r="Y59">
        <v>210590</v>
      </c>
      <c r="Z59">
        <v>214049</v>
      </c>
      <c r="AA59">
        <v>211651</v>
      </c>
      <c r="AB59">
        <v>208602</v>
      </c>
      <c r="AC59">
        <v>204697</v>
      </c>
      <c r="AD59">
        <v>200963</v>
      </c>
      <c r="AE59">
        <v>197845</v>
      </c>
      <c r="AF59">
        <v>194556</v>
      </c>
      <c r="AG59">
        <v>194865</v>
      </c>
      <c r="AH59">
        <v>198291</v>
      </c>
      <c r="AI59">
        <v>205142</v>
      </c>
      <c r="AJ59">
        <v>215454</v>
      </c>
      <c r="AK59">
        <v>225766</v>
      </c>
      <c r="AL59">
        <v>232926</v>
      </c>
      <c r="AM59">
        <v>232923</v>
      </c>
      <c r="AN59">
        <v>229463</v>
      </c>
      <c r="AO59">
        <v>226611</v>
      </c>
      <c r="AP59">
        <v>223541</v>
      </c>
      <c r="AQ59">
        <v>220502</v>
      </c>
      <c r="AR59">
        <v>217259</v>
      </c>
      <c r="AS59">
        <v>224930</v>
      </c>
      <c r="AT59">
        <v>235933</v>
      </c>
      <c r="AU59">
        <v>249900</v>
      </c>
      <c r="AV59">
        <v>256567</v>
      </c>
      <c r="AW59">
        <v>256567</v>
      </c>
      <c r="AX59">
        <v>249900</v>
      </c>
      <c r="AY59">
        <v>239900</v>
      </c>
    </row>
    <row r="60" spans="1:51" x14ac:dyDescent="0.25">
      <c r="A60">
        <v>394913</v>
      </c>
      <c r="B60" t="str">
        <f>IF(E60='Mortgage Calculator'!$H$8,"True","False")</f>
        <v>False</v>
      </c>
      <c r="C60">
        <v>1</v>
      </c>
      <c r="D60" t="s">
        <v>81</v>
      </c>
      <c r="E60" t="s">
        <v>237</v>
      </c>
      <c r="F60" t="s">
        <v>82</v>
      </c>
      <c r="G60" t="s">
        <v>83</v>
      </c>
      <c r="H60">
        <v>517967</v>
      </c>
      <c r="I60">
        <v>523000</v>
      </c>
      <c r="J60">
        <v>534333</v>
      </c>
      <c r="K60">
        <v>544667</v>
      </c>
      <c r="L60">
        <v>554663</v>
      </c>
      <c r="M60">
        <v>559997</v>
      </c>
      <c r="N60">
        <v>559997</v>
      </c>
      <c r="O60">
        <v>554667</v>
      </c>
      <c r="P60">
        <v>549667</v>
      </c>
      <c r="Q60">
        <v>549667</v>
      </c>
      <c r="R60">
        <v>550000</v>
      </c>
      <c r="S60">
        <v>549667</v>
      </c>
      <c r="T60">
        <v>549333</v>
      </c>
      <c r="U60">
        <v>549333</v>
      </c>
      <c r="V60">
        <v>554667</v>
      </c>
      <c r="W60">
        <v>563333</v>
      </c>
      <c r="X60">
        <v>573300</v>
      </c>
      <c r="Y60">
        <v>578267</v>
      </c>
      <c r="Z60">
        <v>578267</v>
      </c>
      <c r="AA60">
        <v>574633</v>
      </c>
      <c r="AB60">
        <v>573000</v>
      </c>
      <c r="AC60">
        <v>574333</v>
      </c>
      <c r="AD60">
        <v>577667</v>
      </c>
      <c r="AE60">
        <v>579000</v>
      </c>
      <c r="AF60">
        <v>577667</v>
      </c>
      <c r="AG60">
        <v>579666</v>
      </c>
      <c r="AH60">
        <v>586333</v>
      </c>
      <c r="AI60">
        <v>594333</v>
      </c>
      <c r="AJ60">
        <v>599000</v>
      </c>
      <c r="AK60">
        <v>602333</v>
      </c>
      <c r="AL60">
        <v>612633</v>
      </c>
      <c r="AM60">
        <v>629300</v>
      </c>
      <c r="AN60">
        <v>642633</v>
      </c>
      <c r="AO60">
        <v>649333</v>
      </c>
      <c r="AP60">
        <v>651667</v>
      </c>
      <c r="AQ60">
        <v>655333</v>
      </c>
      <c r="AR60">
        <v>661667</v>
      </c>
      <c r="AS60">
        <v>668000</v>
      </c>
      <c r="AT60">
        <v>673000</v>
      </c>
      <c r="AU60">
        <v>675000</v>
      </c>
      <c r="AV60">
        <v>674996</v>
      </c>
      <c r="AW60">
        <v>666663</v>
      </c>
      <c r="AX60">
        <v>657996</v>
      </c>
      <c r="AY60">
        <v>642667</v>
      </c>
    </row>
    <row r="61" spans="1:51" x14ac:dyDescent="0.25">
      <c r="A61">
        <v>395031</v>
      </c>
      <c r="B61" t="str">
        <f>IF(E61='Mortgage Calculator'!$H$8,"True","False")</f>
        <v>False</v>
      </c>
      <c r="C61">
        <v>51</v>
      </c>
      <c r="D61" t="s">
        <v>163</v>
      </c>
      <c r="E61" t="s">
        <v>287</v>
      </c>
      <c r="F61" t="s">
        <v>82</v>
      </c>
      <c r="G61" t="s">
        <v>83</v>
      </c>
      <c r="H61">
        <v>184653</v>
      </c>
      <c r="I61">
        <v>191827</v>
      </c>
      <c r="J61">
        <v>202086</v>
      </c>
      <c r="K61">
        <v>214102</v>
      </c>
      <c r="L61">
        <v>223069</v>
      </c>
      <c r="M61">
        <v>227158</v>
      </c>
      <c r="N61">
        <v>223751</v>
      </c>
      <c r="O61">
        <v>216612</v>
      </c>
      <c r="P61">
        <v>209439</v>
      </c>
      <c r="Q61">
        <v>204417</v>
      </c>
      <c r="R61">
        <v>200077</v>
      </c>
      <c r="S61">
        <v>200077</v>
      </c>
      <c r="T61">
        <v>205422</v>
      </c>
      <c r="U61">
        <v>216935</v>
      </c>
      <c r="V61">
        <v>229525</v>
      </c>
      <c r="W61">
        <v>242546</v>
      </c>
      <c r="X61">
        <v>249684</v>
      </c>
      <c r="Y61">
        <v>252876</v>
      </c>
      <c r="Z61">
        <v>250616</v>
      </c>
      <c r="AA61">
        <v>245272</v>
      </c>
      <c r="AB61">
        <v>236663</v>
      </c>
      <c r="AC61">
        <v>225902</v>
      </c>
      <c r="AD61">
        <v>218012</v>
      </c>
      <c r="AE61">
        <v>210873</v>
      </c>
      <c r="AF61">
        <v>211519</v>
      </c>
      <c r="AG61">
        <v>221168</v>
      </c>
      <c r="AH61">
        <v>237524</v>
      </c>
      <c r="AI61">
        <v>254813</v>
      </c>
      <c r="AJ61">
        <v>263780</v>
      </c>
      <c r="AK61">
        <v>268910</v>
      </c>
      <c r="AL61">
        <v>269659</v>
      </c>
      <c r="AM61">
        <v>269337</v>
      </c>
      <c r="AN61">
        <v>261840</v>
      </c>
      <c r="AO61">
        <v>253916</v>
      </c>
      <c r="AP61">
        <v>247065</v>
      </c>
      <c r="AQ61">
        <v>254377</v>
      </c>
      <c r="AR61">
        <v>262315</v>
      </c>
      <c r="AS61">
        <v>276485</v>
      </c>
      <c r="AT61">
        <v>282700</v>
      </c>
      <c r="AU61">
        <v>284633</v>
      </c>
      <c r="AV61">
        <v>277667</v>
      </c>
      <c r="AW61">
        <v>266967</v>
      </c>
      <c r="AX61">
        <v>257933</v>
      </c>
      <c r="AY61">
        <v>248233</v>
      </c>
    </row>
    <row r="62" spans="1:51" x14ac:dyDescent="0.25">
      <c r="A62">
        <v>395143</v>
      </c>
      <c r="B62" t="str">
        <f>IF(E62='Mortgage Calculator'!$H$8,"True","False")</f>
        <v>False</v>
      </c>
      <c r="C62">
        <v>79</v>
      </c>
      <c r="D62" t="s">
        <v>196</v>
      </c>
      <c r="E62" t="s">
        <v>315</v>
      </c>
      <c r="F62" t="s">
        <v>82</v>
      </c>
      <c r="G62" t="s">
        <v>83</v>
      </c>
      <c r="H62">
        <v>132541</v>
      </c>
      <c r="I62">
        <v>133725</v>
      </c>
      <c r="J62">
        <v>136873</v>
      </c>
      <c r="K62">
        <v>142620</v>
      </c>
      <c r="L62">
        <v>145769</v>
      </c>
      <c r="M62">
        <v>147213</v>
      </c>
      <c r="N62">
        <v>148397</v>
      </c>
      <c r="O62">
        <v>149581</v>
      </c>
      <c r="P62">
        <v>149610</v>
      </c>
      <c r="Q62">
        <v>148426</v>
      </c>
      <c r="R62">
        <v>147242</v>
      </c>
      <c r="S62">
        <v>146953</v>
      </c>
      <c r="T62">
        <v>146953</v>
      </c>
      <c r="U62">
        <v>148397</v>
      </c>
      <c r="V62">
        <v>151545</v>
      </c>
      <c r="W62">
        <v>157321</v>
      </c>
      <c r="X62">
        <v>163098</v>
      </c>
      <c r="Y62">
        <v>168326</v>
      </c>
      <c r="Z62">
        <v>169770</v>
      </c>
      <c r="AA62">
        <v>168210</v>
      </c>
      <c r="AB62">
        <v>165611</v>
      </c>
      <c r="AC62">
        <v>162722</v>
      </c>
      <c r="AD62">
        <v>161394</v>
      </c>
      <c r="AE62">
        <v>160239</v>
      </c>
      <c r="AF62">
        <v>160816</v>
      </c>
      <c r="AG62">
        <v>163704</v>
      </c>
      <c r="AH62">
        <v>168008</v>
      </c>
      <c r="AI62">
        <v>176095</v>
      </c>
      <c r="AJ62">
        <v>183315</v>
      </c>
      <c r="AK62">
        <v>190565</v>
      </c>
      <c r="AL62">
        <v>193482</v>
      </c>
      <c r="AM62">
        <v>194926</v>
      </c>
      <c r="AN62">
        <v>194926</v>
      </c>
      <c r="AO62">
        <v>195729</v>
      </c>
      <c r="AP62">
        <v>192183</v>
      </c>
      <c r="AQ62">
        <v>189868</v>
      </c>
      <c r="AR62">
        <v>187380</v>
      </c>
      <c r="AS62">
        <v>197637</v>
      </c>
      <c r="AT62">
        <v>211300</v>
      </c>
      <c r="AU62">
        <v>227967</v>
      </c>
      <c r="AV62">
        <v>237933</v>
      </c>
      <c r="AW62">
        <v>243267</v>
      </c>
      <c r="AX62">
        <v>239933</v>
      </c>
      <c r="AY62">
        <v>224967</v>
      </c>
    </row>
    <row r="63" spans="1:51" x14ac:dyDescent="0.25">
      <c r="A63">
        <v>394304</v>
      </c>
      <c r="B63" t="str">
        <f>IF(E63='Mortgage Calculator'!$H$8,"True","False")</f>
        <v>False</v>
      </c>
      <c r="C63">
        <v>74</v>
      </c>
      <c r="D63" t="s">
        <v>190</v>
      </c>
      <c r="E63" t="s">
        <v>310</v>
      </c>
      <c r="F63" t="s">
        <v>82</v>
      </c>
      <c r="G63" t="s">
        <v>128</v>
      </c>
      <c r="H63">
        <v>145900</v>
      </c>
      <c r="I63">
        <v>143933</v>
      </c>
      <c r="J63">
        <v>144633</v>
      </c>
      <c r="K63">
        <v>151167</v>
      </c>
      <c r="L63">
        <v>159667</v>
      </c>
      <c r="M63">
        <v>167967</v>
      </c>
      <c r="N63">
        <v>173100</v>
      </c>
      <c r="O63">
        <v>172933</v>
      </c>
      <c r="P63">
        <v>169300</v>
      </c>
      <c r="Q63">
        <v>164300</v>
      </c>
      <c r="R63">
        <v>159600</v>
      </c>
      <c r="S63">
        <v>154900</v>
      </c>
      <c r="T63">
        <v>151567</v>
      </c>
      <c r="U63">
        <v>151600</v>
      </c>
      <c r="V63">
        <v>154967</v>
      </c>
      <c r="W63">
        <v>159967</v>
      </c>
      <c r="X63">
        <v>166633</v>
      </c>
      <c r="Y63">
        <v>173267</v>
      </c>
      <c r="Z63">
        <v>177633</v>
      </c>
      <c r="AA63">
        <v>177600</v>
      </c>
      <c r="AB63">
        <v>173300</v>
      </c>
      <c r="AC63">
        <v>168933</v>
      </c>
      <c r="AD63">
        <v>163133</v>
      </c>
      <c r="AE63">
        <v>157433</v>
      </c>
      <c r="AF63">
        <v>152433</v>
      </c>
      <c r="AG63">
        <v>151600</v>
      </c>
      <c r="AH63">
        <v>156600</v>
      </c>
      <c r="AI63">
        <v>163267</v>
      </c>
      <c r="AJ63">
        <v>171433</v>
      </c>
      <c r="AK63">
        <v>178133</v>
      </c>
      <c r="AL63">
        <v>184500</v>
      </c>
      <c r="AM63">
        <v>187967</v>
      </c>
      <c r="AN63">
        <v>184633</v>
      </c>
      <c r="AO63">
        <v>179967</v>
      </c>
      <c r="AP63">
        <v>171633</v>
      </c>
      <c r="AQ63">
        <v>164967</v>
      </c>
      <c r="AR63">
        <v>157600</v>
      </c>
      <c r="AS63">
        <v>155967</v>
      </c>
      <c r="AT63">
        <v>162633</v>
      </c>
      <c r="AU63">
        <v>173817</v>
      </c>
      <c r="AV63">
        <v>183150</v>
      </c>
      <c r="AW63">
        <v>187817</v>
      </c>
      <c r="AX63">
        <v>187000</v>
      </c>
      <c r="AY63">
        <v>186000</v>
      </c>
    </row>
    <row r="64" spans="1:51" x14ac:dyDescent="0.25">
      <c r="A64">
        <v>394466</v>
      </c>
      <c r="B64" t="str">
        <f>IF(E64='Mortgage Calculator'!$H$8,"True","False")</f>
        <v>False</v>
      </c>
      <c r="C64">
        <v>28</v>
      </c>
      <c r="D64" t="s">
        <v>127</v>
      </c>
      <c r="E64" t="s">
        <v>264</v>
      </c>
      <c r="F64" t="s">
        <v>82</v>
      </c>
      <c r="G64" t="s">
        <v>128</v>
      </c>
      <c r="H64">
        <v>218300</v>
      </c>
      <c r="I64">
        <v>219967</v>
      </c>
      <c r="J64">
        <v>231600</v>
      </c>
      <c r="K64">
        <v>248267</v>
      </c>
      <c r="L64">
        <v>261600</v>
      </c>
      <c r="M64">
        <v>267633</v>
      </c>
      <c r="N64">
        <v>265967</v>
      </c>
      <c r="O64">
        <v>259300</v>
      </c>
      <c r="P64">
        <v>251933</v>
      </c>
      <c r="Q64">
        <v>245267</v>
      </c>
      <c r="R64">
        <v>241633</v>
      </c>
      <c r="S64">
        <v>236300</v>
      </c>
      <c r="T64">
        <v>232967</v>
      </c>
      <c r="U64">
        <v>236633</v>
      </c>
      <c r="V64">
        <v>249967</v>
      </c>
      <c r="W64">
        <v>266300</v>
      </c>
      <c r="X64">
        <v>279600</v>
      </c>
      <c r="Y64">
        <v>285967</v>
      </c>
      <c r="Z64">
        <v>287967</v>
      </c>
      <c r="AA64">
        <v>284333</v>
      </c>
      <c r="AB64">
        <v>278567</v>
      </c>
      <c r="AC64">
        <v>271900</v>
      </c>
      <c r="AD64">
        <v>265533</v>
      </c>
      <c r="AE64">
        <v>261300</v>
      </c>
      <c r="AF64">
        <v>261267</v>
      </c>
      <c r="AG64">
        <v>269600</v>
      </c>
      <c r="AH64">
        <v>283233</v>
      </c>
      <c r="AI64">
        <v>295600</v>
      </c>
      <c r="AJ64">
        <v>308967</v>
      </c>
      <c r="AK64">
        <v>322300</v>
      </c>
      <c r="AL64">
        <v>333300</v>
      </c>
      <c r="AM64">
        <v>334633</v>
      </c>
      <c r="AN64">
        <v>327667</v>
      </c>
      <c r="AO64">
        <v>319300</v>
      </c>
      <c r="AP64">
        <v>309630</v>
      </c>
      <c r="AQ64">
        <v>305130</v>
      </c>
      <c r="AR64">
        <v>304830</v>
      </c>
      <c r="AS64">
        <v>313133</v>
      </c>
      <c r="AT64">
        <v>324600</v>
      </c>
      <c r="AU64">
        <v>338933</v>
      </c>
      <c r="AV64">
        <v>352357</v>
      </c>
      <c r="AW64">
        <v>355723</v>
      </c>
      <c r="AX64">
        <v>351390</v>
      </c>
      <c r="AY64">
        <v>338000</v>
      </c>
    </row>
    <row r="65" spans="1:51" x14ac:dyDescent="0.25">
      <c r="A65">
        <v>394475</v>
      </c>
      <c r="B65" t="str">
        <f>IF(E65='Mortgage Calculator'!$H$8,"True","False")</f>
        <v>False</v>
      </c>
      <c r="C65">
        <v>29</v>
      </c>
      <c r="D65" t="s">
        <v>129</v>
      </c>
      <c r="E65" t="s">
        <v>265</v>
      </c>
      <c r="F65" t="s">
        <v>82</v>
      </c>
      <c r="G65" t="s">
        <v>128</v>
      </c>
      <c r="H65">
        <v>161233</v>
      </c>
      <c r="I65">
        <v>161567</v>
      </c>
      <c r="J65">
        <v>164900</v>
      </c>
      <c r="K65">
        <v>171267</v>
      </c>
      <c r="L65">
        <v>176267</v>
      </c>
      <c r="M65">
        <v>181300</v>
      </c>
      <c r="N65">
        <v>183300</v>
      </c>
      <c r="O65">
        <v>183300</v>
      </c>
      <c r="P65">
        <v>181600</v>
      </c>
      <c r="Q65">
        <v>179767</v>
      </c>
      <c r="R65">
        <v>178133</v>
      </c>
      <c r="S65">
        <v>176467</v>
      </c>
      <c r="T65">
        <v>174800</v>
      </c>
      <c r="U65">
        <v>176433</v>
      </c>
      <c r="V65">
        <v>179767</v>
      </c>
      <c r="W65">
        <v>184933</v>
      </c>
      <c r="X65">
        <v>191300</v>
      </c>
      <c r="Y65">
        <v>196300</v>
      </c>
      <c r="Z65">
        <v>199300</v>
      </c>
      <c r="AA65">
        <v>196267</v>
      </c>
      <c r="AB65">
        <v>192933</v>
      </c>
      <c r="AC65">
        <v>188267</v>
      </c>
      <c r="AD65">
        <v>184933</v>
      </c>
      <c r="AE65">
        <v>181600</v>
      </c>
      <c r="AF65">
        <v>179900</v>
      </c>
      <c r="AG65">
        <v>180250</v>
      </c>
      <c r="AH65">
        <v>185283</v>
      </c>
      <c r="AI65">
        <v>191650</v>
      </c>
      <c r="AJ65">
        <v>201300</v>
      </c>
      <c r="AK65">
        <v>209600</v>
      </c>
      <c r="AL65">
        <v>218267</v>
      </c>
      <c r="AM65">
        <v>221300</v>
      </c>
      <c r="AN65">
        <v>214633</v>
      </c>
      <c r="AO65">
        <v>206267</v>
      </c>
      <c r="AP65">
        <v>196567</v>
      </c>
      <c r="AQ65">
        <v>192267</v>
      </c>
      <c r="AR65">
        <v>190467</v>
      </c>
      <c r="AS65">
        <v>197133</v>
      </c>
      <c r="AT65">
        <v>211133</v>
      </c>
      <c r="AU65">
        <v>226267</v>
      </c>
      <c r="AV65">
        <v>235300</v>
      </c>
      <c r="AW65">
        <v>233967</v>
      </c>
      <c r="AX65">
        <v>227000</v>
      </c>
      <c r="AY65">
        <v>214667</v>
      </c>
    </row>
    <row r="66" spans="1:51" x14ac:dyDescent="0.25">
      <c r="A66">
        <v>394492</v>
      </c>
      <c r="B66" t="str">
        <f>IF(E66='Mortgage Calculator'!$H$8,"True","False")</f>
        <v>False</v>
      </c>
      <c r="C66">
        <v>32</v>
      </c>
      <c r="D66" t="s">
        <v>133</v>
      </c>
      <c r="E66" t="s">
        <v>268</v>
      </c>
      <c r="F66" t="s">
        <v>82</v>
      </c>
      <c r="G66" t="s">
        <v>128</v>
      </c>
      <c r="H66">
        <v>254267</v>
      </c>
      <c r="I66">
        <v>268467</v>
      </c>
      <c r="J66">
        <v>285133</v>
      </c>
      <c r="K66">
        <v>302433</v>
      </c>
      <c r="L66">
        <v>311600</v>
      </c>
      <c r="M66">
        <v>316933</v>
      </c>
      <c r="N66">
        <v>315267</v>
      </c>
      <c r="O66">
        <v>306933</v>
      </c>
      <c r="P66">
        <v>294933</v>
      </c>
      <c r="Q66">
        <v>283267</v>
      </c>
      <c r="R66">
        <v>274767</v>
      </c>
      <c r="S66">
        <v>268133</v>
      </c>
      <c r="T66">
        <v>264800</v>
      </c>
      <c r="U66">
        <v>269967</v>
      </c>
      <c r="V66">
        <v>286633</v>
      </c>
      <c r="W66">
        <v>306633</v>
      </c>
      <c r="X66">
        <v>319967</v>
      </c>
      <c r="Y66">
        <v>325933</v>
      </c>
      <c r="Z66">
        <v>325967</v>
      </c>
      <c r="AA66">
        <v>320300</v>
      </c>
      <c r="AB66">
        <v>309330</v>
      </c>
      <c r="AC66">
        <v>295163</v>
      </c>
      <c r="AD66">
        <v>285797</v>
      </c>
      <c r="AE66">
        <v>280133</v>
      </c>
      <c r="AF66">
        <v>282600</v>
      </c>
      <c r="AG66">
        <v>292300</v>
      </c>
      <c r="AH66">
        <v>306267</v>
      </c>
      <c r="AI66">
        <v>316267</v>
      </c>
      <c r="AJ66">
        <v>326567</v>
      </c>
      <c r="AK66">
        <v>336567</v>
      </c>
      <c r="AL66">
        <v>344933</v>
      </c>
      <c r="AM66">
        <v>341600</v>
      </c>
      <c r="AN66">
        <v>329967</v>
      </c>
      <c r="AO66">
        <v>320967</v>
      </c>
      <c r="AP66">
        <v>317333</v>
      </c>
      <c r="AQ66">
        <v>317333</v>
      </c>
      <c r="AR66">
        <v>315663</v>
      </c>
      <c r="AS66">
        <v>318327</v>
      </c>
      <c r="AT66">
        <v>326627</v>
      </c>
      <c r="AU66">
        <v>336630</v>
      </c>
      <c r="AV66">
        <v>340633</v>
      </c>
      <c r="AW66">
        <v>337300</v>
      </c>
      <c r="AX66">
        <v>331300</v>
      </c>
      <c r="AY66">
        <v>324933</v>
      </c>
    </row>
    <row r="67" spans="1:51" x14ac:dyDescent="0.25">
      <c r="A67">
        <v>394521</v>
      </c>
      <c r="B67" t="str">
        <f>IF(E67='Mortgage Calculator'!$H$8,"True","False")</f>
        <v>False</v>
      </c>
      <c r="C67">
        <v>70</v>
      </c>
      <c r="D67" t="s">
        <v>186</v>
      </c>
      <c r="E67" t="s">
        <v>306</v>
      </c>
      <c r="F67" t="s">
        <v>82</v>
      </c>
      <c r="G67" t="s">
        <v>128</v>
      </c>
      <c r="H67">
        <v>128267</v>
      </c>
      <c r="I67">
        <v>126300</v>
      </c>
      <c r="J67">
        <v>129967</v>
      </c>
      <c r="K67">
        <v>134933</v>
      </c>
      <c r="L67">
        <v>139933</v>
      </c>
      <c r="M67">
        <v>144600</v>
      </c>
      <c r="N67">
        <v>149600</v>
      </c>
      <c r="O67">
        <v>151567</v>
      </c>
      <c r="P67">
        <v>149900</v>
      </c>
      <c r="Q67">
        <v>146567</v>
      </c>
      <c r="R67">
        <v>144233</v>
      </c>
      <c r="S67">
        <v>142567</v>
      </c>
      <c r="T67">
        <v>142555</v>
      </c>
      <c r="U67">
        <v>143255</v>
      </c>
      <c r="V67">
        <v>148255</v>
      </c>
      <c r="W67">
        <v>153267</v>
      </c>
      <c r="X67">
        <v>161233</v>
      </c>
      <c r="Y67">
        <v>167900</v>
      </c>
      <c r="Z67">
        <v>176233</v>
      </c>
      <c r="AA67">
        <v>179900</v>
      </c>
      <c r="AB67">
        <v>178233</v>
      </c>
      <c r="AC67">
        <v>172267</v>
      </c>
      <c r="AD67">
        <v>168100</v>
      </c>
      <c r="AE67">
        <v>165467</v>
      </c>
      <c r="AF67">
        <v>164133</v>
      </c>
      <c r="AG67">
        <v>166633</v>
      </c>
      <c r="AH67">
        <v>177633</v>
      </c>
      <c r="AI67">
        <v>189267</v>
      </c>
      <c r="AJ67">
        <v>199933</v>
      </c>
      <c r="AK67">
        <v>204900</v>
      </c>
      <c r="AL67">
        <v>205567</v>
      </c>
      <c r="AM67">
        <v>202800</v>
      </c>
      <c r="AN67">
        <v>199467</v>
      </c>
      <c r="AO67">
        <v>202833</v>
      </c>
      <c r="AP67">
        <v>204963</v>
      </c>
      <c r="AQ67">
        <v>204963</v>
      </c>
      <c r="AR67">
        <v>203297</v>
      </c>
      <c r="AS67">
        <v>205963</v>
      </c>
      <c r="AT67">
        <v>207663</v>
      </c>
      <c r="AU67">
        <v>209297</v>
      </c>
      <c r="AV67">
        <v>213267</v>
      </c>
      <c r="AW67">
        <v>219900</v>
      </c>
      <c r="AX67">
        <v>223263</v>
      </c>
      <c r="AY67">
        <v>221297</v>
      </c>
    </row>
    <row r="68" spans="1:51" x14ac:dyDescent="0.25">
      <c r="A68">
        <v>395160</v>
      </c>
      <c r="B68" t="str">
        <f>IF(E68='Mortgage Calculator'!$H$8,"True","False")</f>
        <v>False</v>
      </c>
      <c r="C68">
        <v>86</v>
      </c>
      <c r="D68" t="s">
        <v>205</v>
      </c>
      <c r="E68" t="s">
        <v>322</v>
      </c>
      <c r="F68" t="s">
        <v>82</v>
      </c>
      <c r="G68" t="s">
        <v>128</v>
      </c>
      <c r="H68">
        <v>126933</v>
      </c>
      <c r="I68">
        <v>126133</v>
      </c>
      <c r="J68">
        <v>130667</v>
      </c>
      <c r="K68">
        <v>137333</v>
      </c>
      <c r="L68">
        <v>144800</v>
      </c>
      <c r="M68">
        <v>148267</v>
      </c>
      <c r="N68">
        <v>149900</v>
      </c>
      <c r="O68">
        <v>147900</v>
      </c>
      <c r="P68">
        <v>145767</v>
      </c>
      <c r="Q68">
        <v>143467</v>
      </c>
      <c r="R68">
        <v>142133</v>
      </c>
      <c r="S68">
        <v>140933</v>
      </c>
      <c r="T68">
        <v>139900</v>
      </c>
      <c r="U68">
        <v>139933</v>
      </c>
      <c r="V68">
        <v>146633</v>
      </c>
      <c r="W68">
        <v>158333</v>
      </c>
      <c r="X68">
        <v>173333</v>
      </c>
      <c r="Y68">
        <v>181667</v>
      </c>
      <c r="Z68">
        <v>183300</v>
      </c>
      <c r="AA68">
        <v>179433</v>
      </c>
      <c r="AB68">
        <v>172767</v>
      </c>
      <c r="AC68">
        <v>167767</v>
      </c>
      <c r="AD68">
        <v>163267</v>
      </c>
      <c r="AE68">
        <v>161567</v>
      </c>
      <c r="AF68">
        <v>159900</v>
      </c>
      <c r="AG68">
        <v>159900</v>
      </c>
      <c r="AH68">
        <v>161567</v>
      </c>
      <c r="AI68">
        <v>166600</v>
      </c>
      <c r="AJ68">
        <v>178639</v>
      </c>
      <c r="AK68">
        <v>190306</v>
      </c>
      <c r="AL68">
        <v>200640</v>
      </c>
      <c r="AM68">
        <v>208632</v>
      </c>
      <c r="AN68">
        <v>208665</v>
      </c>
      <c r="AO68">
        <v>206498</v>
      </c>
      <c r="AP68">
        <v>193133</v>
      </c>
      <c r="AQ68">
        <v>186100</v>
      </c>
      <c r="AR68">
        <v>179567</v>
      </c>
      <c r="AS68">
        <v>186100</v>
      </c>
      <c r="AT68">
        <v>189767</v>
      </c>
      <c r="AU68">
        <v>191467</v>
      </c>
      <c r="AV68">
        <v>188267</v>
      </c>
      <c r="AW68">
        <v>186633</v>
      </c>
      <c r="AX68">
        <v>184933</v>
      </c>
      <c r="AY68">
        <v>178267</v>
      </c>
    </row>
    <row r="69" spans="1:51" x14ac:dyDescent="0.25">
      <c r="A69">
        <v>394935</v>
      </c>
      <c r="B69" t="str">
        <f>IF(E69='Mortgage Calculator'!$H$8,"True","False")</f>
        <v>False</v>
      </c>
      <c r="C69">
        <v>42</v>
      </c>
      <c r="D69" t="s">
        <v>148</v>
      </c>
      <c r="E69" t="s">
        <v>278</v>
      </c>
      <c r="F69" t="s">
        <v>82</v>
      </c>
      <c r="G69" t="s">
        <v>149</v>
      </c>
      <c r="H69">
        <v>236174</v>
      </c>
      <c r="I69">
        <v>238234</v>
      </c>
      <c r="J69">
        <v>243038</v>
      </c>
      <c r="K69">
        <v>248223</v>
      </c>
      <c r="L69">
        <v>252721</v>
      </c>
      <c r="M69">
        <v>253412</v>
      </c>
      <c r="N69">
        <v>253412</v>
      </c>
      <c r="O69">
        <v>250661</v>
      </c>
      <c r="P69">
        <v>248943</v>
      </c>
      <c r="Q69">
        <v>247191</v>
      </c>
      <c r="R69">
        <v>247195</v>
      </c>
      <c r="S69">
        <v>247162</v>
      </c>
      <c r="T69">
        <v>249566</v>
      </c>
      <c r="U69">
        <v>254339</v>
      </c>
      <c r="V69">
        <v>262923</v>
      </c>
      <c r="W69">
        <v>271368</v>
      </c>
      <c r="X69">
        <v>277923</v>
      </c>
      <c r="Y69">
        <v>279331</v>
      </c>
      <c r="Z69">
        <v>277101</v>
      </c>
      <c r="AA69">
        <v>272572</v>
      </c>
      <c r="AB69">
        <v>269447</v>
      </c>
      <c r="AC69">
        <v>267730</v>
      </c>
      <c r="AD69">
        <v>267799</v>
      </c>
      <c r="AE69">
        <v>267799</v>
      </c>
      <c r="AF69">
        <v>269516</v>
      </c>
      <c r="AG69">
        <v>273465</v>
      </c>
      <c r="AH69">
        <v>278822</v>
      </c>
      <c r="AI69">
        <v>282255</v>
      </c>
      <c r="AJ69">
        <v>286891</v>
      </c>
      <c r="AK69">
        <v>293930</v>
      </c>
      <c r="AL69">
        <v>299713</v>
      </c>
      <c r="AM69">
        <v>301086</v>
      </c>
      <c r="AN69">
        <v>297309</v>
      </c>
      <c r="AO69">
        <v>294943</v>
      </c>
      <c r="AP69">
        <v>293171</v>
      </c>
      <c r="AQ69">
        <v>291420</v>
      </c>
      <c r="AR69">
        <v>290208</v>
      </c>
      <c r="AS69">
        <v>292744</v>
      </c>
      <c r="AT69">
        <v>300395</v>
      </c>
      <c r="AU69">
        <v>312095</v>
      </c>
      <c r="AV69">
        <v>317745</v>
      </c>
      <c r="AW69">
        <v>315650</v>
      </c>
      <c r="AX69">
        <v>307317</v>
      </c>
      <c r="AY69">
        <v>301333</v>
      </c>
    </row>
    <row r="70" spans="1:51" x14ac:dyDescent="0.25">
      <c r="A70">
        <v>395169</v>
      </c>
      <c r="B70" t="str">
        <f>IF(E70='Mortgage Calculator'!$H$8,"True","False")</f>
        <v>False</v>
      </c>
      <c r="C70">
        <v>55</v>
      </c>
      <c r="D70" t="s">
        <v>168</v>
      </c>
      <c r="E70" t="s">
        <v>291</v>
      </c>
      <c r="F70" t="s">
        <v>82</v>
      </c>
      <c r="G70" t="s">
        <v>149</v>
      </c>
      <c r="H70">
        <v>193535</v>
      </c>
      <c r="I70">
        <v>194317</v>
      </c>
      <c r="J70">
        <v>198698</v>
      </c>
      <c r="K70">
        <v>204643</v>
      </c>
      <c r="L70">
        <v>208085</v>
      </c>
      <c r="M70">
        <v>208398</v>
      </c>
      <c r="N70">
        <v>207424</v>
      </c>
      <c r="O70">
        <v>206798</v>
      </c>
      <c r="P70">
        <v>206767</v>
      </c>
      <c r="Q70">
        <v>206458</v>
      </c>
      <c r="R70">
        <v>206458</v>
      </c>
      <c r="S70">
        <v>206458</v>
      </c>
      <c r="T70">
        <v>207100</v>
      </c>
      <c r="U70">
        <v>209916</v>
      </c>
      <c r="V70">
        <v>215893</v>
      </c>
      <c r="W70">
        <v>223105</v>
      </c>
      <c r="X70">
        <v>229676</v>
      </c>
      <c r="Y70">
        <v>232805</v>
      </c>
      <c r="Z70">
        <v>234339</v>
      </c>
      <c r="AA70">
        <v>233556</v>
      </c>
      <c r="AB70">
        <v>234361</v>
      </c>
      <c r="AC70">
        <v>235925</v>
      </c>
      <c r="AD70">
        <v>238272</v>
      </c>
      <c r="AE70">
        <v>239345</v>
      </c>
      <c r="AF70">
        <v>237781</v>
      </c>
      <c r="AG70">
        <v>237781</v>
      </c>
      <c r="AH70">
        <v>240910</v>
      </c>
      <c r="AI70">
        <v>247184</v>
      </c>
      <c r="AJ70">
        <v>255006</v>
      </c>
      <c r="AK70">
        <v>264393</v>
      </c>
      <c r="AL70">
        <v>272513</v>
      </c>
      <c r="AM70">
        <v>277207</v>
      </c>
      <c r="AN70">
        <v>277207</v>
      </c>
      <c r="AO70">
        <v>277950</v>
      </c>
      <c r="AP70">
        <v>278309</v>
      </c>
      <c r="AQ70">
        <v>277967</v>
      </c>
      <c r="AR70">
        <v>277600</v>
      </c>
      <c r="AS70">
        <v>277933</v>
      </c>
      <c r="AT70">
        <v>292600</v>
      </c>
      <c r="AU70">
        <v>304633</v>
      </c>
      <c r="AV70">
        <v>314967</v>
      </c>
      <c r="AW70">
        <v>304967</v>
      </c>
      <c r="AX70">
        <v>294967</v>
      </c>
      <c r="AY70">
        <v>286633</v>
      </c>
    </row>
    <row r="71" spans="1:51" x14ac:dyDescent="0.25">
      <c r="A71">
        <v>394998</v>
      </c>
      <c r="B71" t="str">
        <f>IF(E71='Mortgage Calculator'!$H$8,"True","False")</f>
        <v>False</v>
      </c>
      <c r="C71">
        <v>23</v>
      </c>
      <c r="D71" t="s">
        <v>120</v>
      </c>
      <c r="E71" t="s">
        <v>259</v>
      </c>
      <c r="F71" t="s">
        <v>82</v>
      </c>
      <c r="G71" t="s">
        <v>121</v>
      </c>
      <c r="H71">
        <v>462508</v>
      </c>
      <c r="I71">
        <v>468955</v>
      </c>
      <c r="J71">
        <v>475417</v>
      </c>
      <c r="K71">
        <v>481832</v>
      </c>
      <c r="L71">
        <v>483443</v>
      </c>
      <c r="M71">
        <v>483427</v>
      </c>
      <c r="N71">
        <v>480204</v>
      </c>
      <c r="O71">
        <v>473725</v>
      </c>
      <c r="P71">
        <v>465667</v>
      </c>
      <c r="Q71">
        <v>459220</v>
      </c>
      <c r="R71">
        <v>455997</v>
      </c>
      <c r="S71">
        <v>454385</v>
      </c>
      <c r="T71">
        <v>456001</v>
      </c>
      <c r="U71">
        <v>459224</v>
      </c>
      <c r="V71">
        <v>465671</v>
      </c>
      <c r="W71">
        <v>470534</v>
      </c>
      <c r="X71">
        <v>473789</v>
      </c>
      <c r="Y71">
        <v>473822</v>
      </c>
      <c r="Z71">
        <v>472049</v>
      </c>
      <c r="AA71">
        <v>468793</v>
      </c>
      <c r="AB71">
        <v>463958</v>
      </c>
      <c r="AC71">
        <v>459607</v>
      </c>
      <c r="AD71">
        <v>456416</v>
      </c>
      <c r="AE71">
        <v>456416</v>
      </c>
      <c r="AF71">
        <v>459317</v>
      </c>
      <c r="AG71">
        <v>467375</v>
      </c>
      <c r="AH71">
        <v>473822</v>
      </c>
      <c r="AI71">
        <v>473789</v>
      </c>
      <c r="AJ71">
        <v>473789</v>
      </c>
      <c r="AK71">
        <v>475385</v>
      </c>
      <c r="AL71">
        <v>485087</v>
      </c>
      <c r="AM71">
        <v>489029</v>
      </c>
      <c r="AN71">
        <v>492881</v>
      </c>
      <c r="AO71">
        <v>496104</v>
      </c>
      <c r="AP71">
        <v>505023</v>
      </c>
      <c r="AQ71">
        <v>514371</v>
      </c>
      <c r="AR71">
        <v>521760</v>
      </c>
      <c r="AS71">
        <v>524347</v>
      </c>
      <c r="AT71">
        <v>533300</v>
      </c>
      <c r="AU71">
        <v>549967</v>
      </c>
      <c r="AV71">
        <v>573300</v>
      </c>
      <c r="AW71">
        <v>588667</v>
      </c>
      <c r="AX71">
        <v>593333</v>
      </c>
      <c r="AY71">
        <v>586667</v>
      </c>
    </row>
    <row r="72" spans="1:51" x14ac:dyDescent="0.25">
      <c r="A72">
        <v>394318</v>
      </c>
      <c r="B72" t="str">
        <f>IF(E72='Mortgage Calculator'!$H$8,"True","False")</f>
        <v>False</v>
      </c>
      <c r="C72">
        <v>67</v>
      </c>
      <c r="D72" t="s">
        <v>183</v>
      </c>
      <c r="E72" t="s">
        <v>303</v>
      </c>
      <c r="F72" t="s">
        <v>82</v>
      </c>
      <c r="G72" t="s">
        <v>91</v>
      </c>
      <c r="H72">
        <v>222433</v>
      </c>
      <c r="I72">
        <v>222300</v>
      </c>
      <c r="J72">
        <v>225333</v>
      </c>
      <c r="K72">
        <v>232167</v>
      </c>
      <c r="L72">
        <v>237300</v>
      </c>
      <c r="M72">
        <v>240267</v>
      </c>
      <c r="N72">
        <v>242567</v>
      </c>
      <c r="O72">
        <v>241100</v>
      </c>
      <c r="P72">
        <v>236767</v>
      </c>
      <c r="Q72">
        <v>231767</v>
      </c>
      <c r="R72">
        <v>228267</v>
      </c>
      <c r="S72">
        <v>226600</v>
      </c>
      <c r="T72">
        <v>224267</v>
      </c>
      <c r="U72">
        <v>225900</v>
      </c>
      <c r="V72">
        <v>230900</v>
      </c>
      <c r="W72">
        <v>238267</v>
      </c>
      <c r="X72">
        <v>244633</v>
      </c>
      <c r="Y72">
        <v>248000</v>
      </c>
      <c r="Z72">
        <v>251300</v>
      </c>
      <c r="AA72">
        <v>251600</v>
      </c>
      <c r="AB72">
        <v>250767</v>
      </c>
      <c r="AC72">
        <v>247467</v>
      </c>
      <c r="AD72">
        <v>245475</v>
      </c>
      <c r="AE72">
        <v>242942</v>
      </c>
      <c r="AF72">
        <v>242575</v>
      </c>
      <c r="AG72">
        <v>244600</v>
      </c>
      <c r="AH72">
        <v>254600</v>
      </c>
      <c r="AI72">
        <v>261633</v>
      </c>
      <c r="AJ72">
        <v>268267</v>
      </c>
      <c r="AK72">
        <v>271267</v>
      </c>
      <c r="AL72">
        <v>279267</v>
      </c>
      <c r="AM72">
        <v>285933</v>
      </c>
      <c r="AN72">
        <v>289300</v>
      </c>
      <c r="AO72">
        <v>289633</v>
      </c>
      <c r="AP72">
        <v>289333</v>
      </c>
      <c r="AQ72">
        <v>289633</v>
      </c>
      <c r="AR72">
        <v>292933</v>
      </c>
      <c r="AS72">
        <v>304900</v>
      </c>
      <c r="AT72">
        <v>316597</v>
      </c>
      <c r="AU72">
        <v>324930</v>
      </c>
      <c r="AV72">
        <v>324963</v>
      </c>
      <c r="AW72">
        <v>321633</v>
      </c>
      <c r="AX72">
        <v>313333</v>
      </c>
      <c r="AY72">
        <v>308333</v>
      </c>
    </row>
    <row r="73" spans="1:51" x14ac:dyDescent="0.25">
      <c r="A73">
        <v>394974</v>
      </c>
      <c r="B73" t="str">
        <f>IF(E73='Mortgage Calculator'!$H$8,"True","False")</f>
        <v>False</v>
      </c>
      <c r="C73">
        <v>5</v>
      </c>
      <c r="D73" t="s">
        <v>90</v>
      </c>
      <c r="E73" t="s">
        <v>241</v>
      </c>
      <c r="F73" t="s">
        <v>82</v>
      </c>
      <c r="G73" t="s">
        <v>91</v>
      </c>
      <c r="H73">
        <v>252633</v>
      </c>
      <c r="I73">
        <v>249633</v>
      </c>
      <c r="J73">
        <v>253833</v>
      </c>
      <c r="K73">
        <v>260800</v>
      </c>
      <c r="L73">
        <v>270100</v>
      </c>
      <c r="M73">
        <v>275933</v>
      </c>
      <c r="N73">
        <v>279267</v>
      </c>
      <c r="O73">
        <v>278267</v>
      </c>
      <c r="P73">
        <v>276039</v>
      </c>
      <c r="Q73">
        <v>274239</v>
      </c>
      <c r="R73">
        <v>271606</v>
      </c>
      <c r="S73">
        <v>266467</v>
      </c>
      <c r="T73">
        <v>258300</v>
      </c>
      <c r="U73">
        <v>254267</v>
      </c>
      <c r="V73">
        <v>257967</v>
      </c>
      <c r="W73">
        <v>267633</v>
      </c>
      <c r="X73">
        <v>279300</v>
      </c>
      <c r="Y73">
        <v>287963</v>
      </c>
      <c r="Z73">
        <v>293297</v>
      </c>
      <c r="AA73">
        <v>293663</v>
      </c>
      <c r="AB73">
        <v>293667</v>
      </c>
      <c r="AC73">
        <v>294300</v>
      </c>
      <c r="AD73">
        <v>293967</v>
      </c>
      <c r="AE73">
        <v>290633</v>
      </c>
      <c r="AF73">
        <v>286500</v>
      </c>
      <c r="AG73">
        <v>286467</v>
      </c>
      <c r="AH73">
        <v>289800</v>
      </c>
      <c r="AI73">
        <v>294633</v>
      </c>
      <c r="AJ73">
        <v>301333</v>
      </c>
      <c r="AK73">
        <v>311333</v>
      </c>
      <c r="AL73">
        <v>323333</v>
      </c>
      <c r="AM73">
        <v>333000</v>
      </c>
      <c r="AN73">
        <v>336333</v>
      </c>
      <c r="AO73">
        <v>337967</v>
      </c>
      <c r="AP73">
        <v>334967</v>
      </c>
      <c r="AQ73">
        <v>331600</v>
      </c>
      <c r="AR73">
        <v>324933</v>
      </c>
      <c r="AS73">
        <v>321567</v>
      </c>
      <c r="AT73">
        <v>321567</v>
      </c>
      <c r="AU73">
        <v>325900</v>
      </c>
      <c r="AV73">
        <v>330933</v>
      </c>
      <c r="AW73">
        <v>335100</v>
      </c>
      <c r="AX73">
        <v>332467</v>
      </c>
      <c r="AY73">
        <v>329067</v>
      </c>
    </row>
    <row r="74" spans="1:51" x14ac:dyDescent="0.25">
      <c r="A74">
        <v>394982</v>
      </c>
      <c r="B74" t="str">
        <f>IF(E74='Mortgage Calculator'!$H$8,"True","False")</f>
        <v>False</v>
      </c>
      <c r="C74">
        <v>22</v>
      </c>
      <c r="D74" t="s">
        <v>119</v>
      </c>
      <c r="E74" t="s">
        <v>258</v>
      </c>
      <c r="F74" t="s">
        <v>82</v>
      </c>
      <c r="G74" t="s">
        <v>91</v>
      </c>
      <c r="H74">
        <v>171567</v>
      </c>
      <c r="I74">
        <v>169900</v>
      </c>
      <c r="J74">
        <v>173233</v>
      </c>
      <c r="K74">
        <v>177267</v>
      </c>
      <c r="L74">
        <v>182967</v>
      </c>
      <c r="M74">
        <v>184667</v>
      </c>
      <c r="N74">
        <v>183967</v>
      </c>
      <c r="O74">
        <v>181600</v>
      </c>
      <c r="P74">
        <v>179900</v>
      </c>
      <c r="Q74">
        <v>178267</v>
      </c>
      <c r="R74">
        <v>175933</v>
      </c>
      <c r="S74">
        <v>172633</v>
      </c>
      <c r="T74">
        <v>170933</v>
      </c>
      <c r="U74">
        <v>171100</v>
      </c>
      <c r="V74">
        <v>175767</v>
      </c>
      <c r="W74">
        <v>182433</v>
      </c>
      <c r="X74">
        <v>190133</v>
      </c>
      <c r="Y74">
        <v>195433</v>
      </c>
      <c r="Z74">
        <v>198767</v>
      </c>
      <c r="AA74">
        <v>199600</v>
      </c>
      <c r="AB74">
        <v>198967</v>
      </c>
      <c r="AC74">
        <v>195633</v>
      </c>
      <c r="AD74">
        <v>190967</v>
      </c>
      <c r="AE74">
        <v>184967</v>
      </c>
      <c r="AF74">
        <v>183300</v>
      </c>
      <c r="AG74">
        <v>186300</v>
      </c>
      <c r="AH74">
        <v>192933</v>
      </c>
      <c r="AI74">
        <v>197933</v>
      </c>
      <c r="AJ74">
        <v>204900</v>
      </c>
      <c r="AK74">
        <v>214900</v>
      </c>
      <c r="AL74">
        <v>227600</v>
      </c>
      <c r="AM74">
        <v>234267</v>
      </c>
      <c r="AN74">
        <v>234300</v>
      </c>
      <c r="AO74">
        <v>233267</v>
      </c>
      <c r="AP74">
        <v>231600</v>
      </c>
      <c r="AQ74">
        <v>229933</v>
      </c>
      <c r="AR74">
        <v>227967</v>
      </c>
      <c r="AS74">
        <v>229633</v>
      </c>
      <c r="AT74">
        <v>234300</v>
      </c>
      <c r="AU74">
        <v>241267</v>
      </c>
      <c r="AV74">
        <v>246267</v>
      </c>
      <c r="AW74">
        <v>246567</v>
      </c>
      <c r="AX74">
        <v>239900</v>
      </c>
      <c r="AY74">
        <v>231567</v>
      </c>
    </row>
    <row r="75" spans="1:51" x14ac:dyDescent="0.25">
      <c r="A75">
        <v>395005</v>
      </c>
      <c r="B75" t="str">
        <f>IF(E75='Mortgage Calculator'!$H$8,"True","False")</f>
        <v>False</v>
      </c>
      <c r="C75">
        <v>38</v>
      </c>
      <c r="D75" t="s">
        <v>142</v>
      </c>
      <c r="E75" t="s">
        <v>274</v>
      </c>
      <c r="F75" t="s">
        <v>82</v>
      </c>
      <c r="G75" t="s">
        <v>143</v>
      </c>
      <c r="H75">
        <v>346009</v>
      </c>
      <c r="I75">
        <v>347792</v>
      </c>
      <c r="J75">
        <v>353072</v>
      </c>
      <c r="K75">
        <v>360064</v>
      </c>
      <c r="L75">
        <v>365308</v>
      </c>
      <c r="M75">
        <v>367021</v>
      </c>
      <c r="N75">
        <v>367056</v>
      </c>
      <c r="O75">
        <v>367056</v>
      </c>
      <c r="P75">
        <v>367056</v>
      </c>
      <c r="Q75">
        <v>365273</v>
      </c>
      <c r="R75">
        <v>361427</v>
      </c>
      <c r="S75">
        <v>356218</v>
      </c>
      <c r="T75">
        <v>354470</v>
      </c>
      <c r="U75">
        <v>357966</v>
      </c>
      <c r="V75">
        <v>366357</v>
      </c>
      <c r="W75">
        <v>376006</v>
      </c>
      <c r="X75">
        <v>383313</v>
      </c>
      <c r="Y75">
        <v>387124</v>
      </c>
      <c r="Z75">
        <v>387963</v>
      </c>
      <c r="AA75">
        <v>387963</v>
      </c>
      <c r="AB75">
        <v>387648</v>
      </c>
      <c r="AC75">
        <v>385935</v>
      </c>
      <c r="AD75">
        <v>382439</v>
      </c>
      <c r="AE75">
        <v>375761</v>
      </c>
      <c r="AF75">
        <v>370517</v>
      </c>
      <c r="AG75">
        <v>373664</v>
      </c>
      <c r="AH75">
        <v>384152</v>
      </c>
      <c r="AI75">
        <v>394605</v>
      </c>
      <c r="AJ75">
        <v>401947</v>
      </c>
      <c r="AK75">
        <v>408939</v>
      </c>
      <c r="AL75">
        <v>419463</v>
      </c>
      <c r="AM75">
        <v>425791</v>
      </c>
      <c r="AN75">
        <v>422329</v>
      </c>
      <c r="AO75">
        <v>411806</v>
      </c>
      <c r="AP75">
        <v>400269</v>
      </c>
      <c r="AQ75">
        <v>396423</v>
      </c>
      <c r="AR75">
        <v>396606</v>
      </c>
      <c r="AS75">
        <v>407169</v>
      </c>
      <c r="AT75">
        <v>408000</v>
      </c>
      <c r="AU75">
        <v>411667</v>
      </c>
      <c r="AV75">
        <v>411333</v>
      </c>
      <c r="AW75">
        <v>424667</v>
      </c>
      <c r="AX75">
        <v>436300</v>
      </c>
      <c r="AY75">
        <v>441600</v>
      </c>
    </row>
    <row r="76" spans="1:51" x14ac:dyDescent="0.25">
      <c r="A76">
        <v>394457</v>
      </c>
      <c r="B76" t="str">
        <f>IF(E76='Mortgage Calculator'!$H$8,"True","False")</f>
        <v>False</v>
      </c>
      <c r="C76">
        <v>78</v>
      </c>
      <c r="D76" t="s">
        <v>195</v>
      </c>
      <c r="E76" t="s">
        <v>314</v>
      </c>
      <c r="F76" t="s">
        <v>82</v>
      </c>
      <c r="G76" t="s">
        <v>181</v>
      </c>
      <c r="H76">
        <v>363730</v>
      </c>
      <c r="I76">
        <v>366677</v>
      </c>
      <c r="J76">
        <v>371255</v>
      </c>
      <c r="K76">
        <v>377395</v>
      </c>
      <c r="L76">
        <v>382028</v>
      </c>
      <c r="M76">
        <v>384757</v>
      </c>
      <c r="N76">
        <v>384726</v>
      </c>
      <c r="O76">
        <v>380178</v>
      </c>
      <c r="P76">
        <v>372902</v>
      </c>
      <c r="Q76">
        <v>366838</v>
      </c>
      <c r="R76">
        <v>363351</v>
      </c>
      <c r="S76">
        <v>361380</v>
      </c>
      <c r="T76">
        <v>360804</v>
      </c>
      <c r="U76">
        <v>364291</v>
      </c>
      <c r="V76">
        <v>373235</v>
      </c>
      <c r="W76">
        <v>381422</v>
      </c>
      <c r="X76">
        <v>387152</v>
      </c>
      <c r="Y76">
        <v>387758</v>
      </c>
      <c r="Z76">
        <v>385939</v>
      </c>
      <c r="AA76">
        <v>378693</v>
      </c>
      <c r="AB76">
        <v>371083</v>
      </c>
      <c r="AC76">
        <v>365292</v>
      </c>
      <c r="AD76">
        <v>363745</v>
      </c>
      <c r="AE76">
        <v>363472</v>
      </c>
      <c r="AF76">
        <v>363472</v>
      </c>
      <c r="AG76">
        <v>365801</v>
      </c>
      <c r="AH76">
        <v>372165</v>
      </c>
      <c r="AI76">
        <v>375834</v>
      </c>
      <c r="AJ76">
        <v>382601</v>
      </c>
      <c r="AK76">
        <v>387758</v>
      </c>
      <c r="AL76">
        <v>396248</v>
      </c>
      <c r="AM76">
        <v>401433</v>
      </c>
      <c r="AN76">
        <v>405071</v>
      </c>
      <c r="AO76">
        <v>408331</v>
      </c>
      <c r="AP76">
        <v>411132</v>
      </c>
      <c r="AQ76">
        <v>414997</v>
      </c>
      <c r="AR76">
        <v>419963</v>
      </c>
      <c r="AS76">
        <v>429967</v>
      </c>
      <c r="AT76">
        <v>441630</v>
      </c>
      <c r="AU76">
        <v>456630</v>
      </c>
      <c r="AV76">
        <v>474630</v>
      </c>
      <c r="AW76">
        <v>489300</v>
      </c>
      <c r="AX76">
        <v>491000</v>
      </c>
      <c r="AY76">
        <v>476737</v>
      </c>
    </row>
    <row r="77" spans="1:51" x14ac:dyDescent="0.25">
      <c r="A77">
        <v>394486</v>
      </c>
      <c r="B77" t="str">
        <f>IF(E77='Mortgage Calculator'!$H$8,"True","False")</f>
        <v>False</v>
      </c>
      <c r="C77">
        <v>72</v>
      </c>
      <c r="D77" t="s">
        <v>188</v>
      </c>
      <c r="E77" t="s">
        <v>308</v>
      </c>
      <c r="F77" t="s">
        <v>82</v>
      </c>
      <c r="G77" t="s">
        <v>181</v>
      </c>
      <c r="H77">
        <v>201567</v>
      </c>
      <c r="I77">
        <v>201600</v>
      </c>
      <c r="J77">
        <v>206300</v>
      </c>
      <c r="K77">
        <v>214633</v>
      </c>
      <c r="L77">
        <v>222933</v>
      </c>
      <c r="M77">
        <v>229933</v>
      </c>
      <c r="N77">
        <v>231600</v>
      </c>
      <c r="O77">
        <v>230361</v>
      </c>
      <c r="P77">
        <v>228661</v>
      </c>
      <c r="Q77">
        <v>227027</v>
      </c>
      <c r="R77">
        <v>229967</v>
      </c>
      <c r="S77">
        <v>231667</v>
      </c>
      <c r="T77">
        <v>236000</v>
      </c>
      <c r="U77">
        <v>237000</v>
      </c>
      <c r="V77">
        <v>239500</v>
      </c>
      <c r="W77">
        <v>243167</v>
      </c>
      <c r="X77">
        <v>246833</v>
      </c>
      <c r="Y77">
        <v>249000</v>
      </c>
      <c r="Z77">
        <v>245967</v>
      </c>
      <c r="AA77">
        <v>241300</v>
      </c>
      <c r="AB77">
        <v>236600</v>
      </c>
      <c r="AC77">
        <v>233267</v>
      </c>
      <c r="AD77">
        <v>230429</v>
      </c>
      <c r="AE77">
        <v>228009</v>
      </c>
      <c r="AF77">
        <v>228009</v>
      </c>
      <c r="AG77">
        <v>231352</v>
      </c>
      <c r="AH77">
        <v>235802</v>
      </c>
      <c r="AI77">
        <v>240604</v>
      </c>
      <c r="AJ77">
        <v>244932</v>
      </c>
      <c r="AK77">
        <v>247902</v>
      </c>
      <c r="AL77">
        <v>251117</v>
      </c>
      <c r="AM77">
        <v>253283</v>
      </c>
      <c r="AN77">
        <v>253283</v>
      </c>
      <c r="AO77">
        <v>249612</v>
      </c>
      <c r="AP77">
        <v>246745</v>
      </c>
      <c r="AQ77">
        <v>245745</v>
      </c>
      <c r="AR77">
        <v>247733</v>
      </c>
      <c r="AS77">
        <v>250597</v>
      </c>
      <c r="AT77">
        <v>255630</v>
      </c>
      <c r="AU77">
        <v>261630</v>
      </c>
      <c r="AV77">
        <v>266267</v>
      </c>
      <c r="AW77">
        <v>268767</v>
      </c>
      <c r="AX77">
        <v>272547</v>
      </c>
      <c r="AY77">
        <v>275547</v>
      </c>
    </row>
    <row r="78" spans="1:51" x14ac:dyDescent="0.25">
      <c r="A78">
        <v>394653</v>
      </c>
      <c r="B78" t="str">
        <f>IF(E78='Mortgage Calculator'!$H$8,"True","False")</f>
        <v>False</v>
      </c>
      <c r="C78">
        <v>65</v>
      </c>
      <c r="D78" t="s">
        <v>180</v>
      </c>
      <c r="E78" t="s">
        <v>301</v>
      </c>
      <c r="F78" t="s">
        <v>82</v>
      </c>
      <c r="G78" t="s">
        <v>181</v>
      </c>
      <c r="H78">
        <v>259026</v>
      </c>
      <c r="I78">
        <v>260724</v>
      </c>
      <c r="J78">
        <v>265009</v>
      </c>
      <c r="K78">
        <v>271104</v>
      </c>
      <c r="L78">
        <v>275162</v>
      </c>
      <c r="M78">
        <v>278248</v>
      </c>
      <c r="N78">
        <v>278535</v>
      </c>
      <c r="O78">
        <v>278217</v>
      </c>
      <c r="P78">
        <v>273398</v>
      </c>
      <c r="Q78">
        <v>268612</v>
      </c>
      <c r="R78">
        <v>264113</v>
      </c>
      <c r="S78">
        <v>261592</v>
      </c>
      <c r="T78">
        <v>260028</v>
      </c>
      <c r="U78">
        <v>261177</v>
      </c>
      <c r="V78">
        <v>266282</v>
      </c>
      <c r="W78">
        <v>274260</v>
      </c>
      <c r="X78">
        <v>280961</v>
      </c>
      <c r="Y78">
        <v>282205</v>
      </c>
      <c r="Z78">
        <v>278695</v>
      </c>
      <c r="AA78">
        <v>272441</v>
      </c>
      <c r="AB78">
        <v>268963</v>
      </c>
      <c r="AC78">
        <v>267655</v>
      </c>
      <c r="AD78">
        <v>267607</v>
      </c>
      <c r="AE78">
        <v>266298</v>
      </c>
      <c r="AF78">
        <v>264735</v>
      </c>
      <c r="AG78">
        <v>267686</v>
      </c>
      <c r="AH78">
        <v>272186</v>
      </c>
      <c r="AI78">
        <v>275377</v>
      </c>
      <c r="AJ78">
        <v>278248</v>
      </c>
      <c r="AK78">
        <v>283673</v>
      </c>
      <c r="AL78">
        <v>288459</v>
      </c>
      <c r="AM78">
        <v>290374</v>
      </c>
      <c r="AN78">
        <v>288906</v>
      </c>
      <c r="AO78">
        <v>289678</v>
      </c>
      <c r="AP78">
        <v>287674</v>
      </c>
      <c r="AQ78">
        <v>284500</v>
      </c>
      <c r="AR78">
        <v>279852</v>
      </c>
      <c r="AS78">
        <v>279918</v>
      </c>
      <c r="AT78">
        <v>286585</v>
      </c>
      <c r="AU78">
        <v>303618</v>
      </c>
      <c r="AV78">
        <v>316951</v>
      </c>
      <c r="AW78">
        <v>333618</v>
      </c>
      <c r="AX78">
        <v>340667</v>
      </c>
      <c r="AY78">
        <v>348900</v>
      </c>
    </row>
    <row r="79" spans="1:51" x14ac:dyDescent="0.25">
      <c r="A79">
        <v>394753</v>
      </c>
      <c r="B79" t="str">
        <f>IF(E79='Mortgage Calculator'!$H$8,"True","False")</f>
        <v>False</v>
      </c>
      <c r="C79">
        <v>64</v>
      </c>
      <c r="D79" t="s">
        <v>179</v>
      </c>
      <c r="E79" t="s">
        <v>300</v>
      </c>
      <c r="F79" t="s">
        <v>82</v>
      </c>
      <c r="G79" t="s">
        <v>141</v>
      </c>
      <c r="H79">
        <v>264883</v>
      </c>
      <c r="I79">
        <v>263600</v>
      </c>
      <c r="J79">
        <v>267633</v>
      </c>
      <c r="K79">
        <v>277600</v>
      </c>
      <c r="L79">
        <v>287267</v>
      </c>
      <c r="M79">
        <v>292267</v>
      </c>
      <c r="N79">
        <v>290600</v>
      </c>
      <c r="O79">
        <v>283967</v>
      </c>
      <c r="P79">
        <v>277600</v>
      </c>
      <c r="Q79">
        <v>272600</v>
      </c>
      <c r="R79">
        <v>269267</v>
      </c>
      <c r="S79">
        <v>268267</v>
      </c>
      <c r="T79">
        <v>266333</v>
      </c>
      <c r="U79">
        <v>267300</v>
      </c>
      <c r="V79">
        <v>270633</v>
      </c>
      <c r="W79">
        <v>279233</v>
      </c>
      <c r="X79">
        <v>289900</v>
      </c>
      <c r="Y79">
        <v>296567</v>
      </c>
      <c r="Z79">
        <v>301600</v>
      </c>
      <c r="AA79">
        <v>301600</v>
      </c>
      <c r="AB79">
        <v>301300</v>
      </c>
      <c r="AC79">
        <v>296267</v>
      </c>
      <c r="AD79">
        <v>289600</v>
      </c>
      <c r="AE79">
        <v>283233</v>
      </c>
      <c r="AF79">
        <v>279767</v>
      </c>
      <c r="AG79">
        <v>283100</v>
      </c>
      <c r="AH79">
        <v>289767</v>
      </c>
      <c r="AI79">
        <v>296600</v>
      </c>
      <c r="AJ79">
        <v>304967</v>
      </c>
      <c r="AK79">
        <v>316633</v>
      </c>
      <c r="AL79">
        <v>331633</v>
      </c>
      <c r="AM79">
        <v>341633</v>
      </c>
      <c r="AN79">
        <v>340000</v>
      </c>
      <c r="AO79">
        <v>331633</v>
      </c>
      <c r="AP79">
        <v>316633</v>
      </c>
      <c r="AQ79">
        <v>306600</v>
      </c>
      <c r="AR79">
        <v>301621</v>
      </c>
      <c r="AS79">
        <v>304954</v>
      </c>
      <c r="AT79">
        <v>314954</v>
      </c>
      <c r="AU79">
        <v>338300</v>
      </c>
      <c r="AV79">
        <v>359616</v>
      </c>
      <c r="AW79">
        <v>368283</v>
      </c>
      <c r="AX79">
        <v>359116</v>
      </c>
      <c r="AY79">
        <v>350767</v>
      </c>
    </row>
    <row r="80" spans="1:51" x14ac:dyDescent="0.25">
      <c r="A80">
        <v>394849</v>
      </c>
      <c r="B80" t="str">
        <f>IF(E80='Mortgage Calculator'!$H$8,"True","False")</f>
        <v>False</v>
      </c>
      <c r="C80">
        <v>41</v>
      </c>
      <c r="D80" t="s">
        <v>147</v>
      </c>
      <c r="E80" t="s">
        <v>277</v>
      </c>
      <c r="F80" t="s">
        <v>82</v>
      </c>
      <c r="G80" t="s">
        <v>141</v>
      </c>
      <c r="H80">
        <v>187574</v>
      </c>
      <c r="I80">
        <v>182802</v>
      </c>
      <c r="J80">
        <v>181244</v>
      </c>
      <c r="K80">
        <v>184266</v>
      </c>
      <c r="L80">
        <v>187447</v>
      </c>
      <c r="M80">
        <v>195049</v>
      </c>
      <c r="N80">
        <v>200011</v>
      </c>
      <c r="O80">
        <v>205673</v>
      </c>
      <c r="P80">
        <v>207407</v>
      </c>
      <c r="Q80">
        <v>208966</v>
      </c>
      <c r="R80">
        <v>209061</v>
      </c>
      <c r="S80">
        <v>206087</v>
      </c>
      <c r="T80">
        <v>202935</v>
      </c>
      <c r="U80">
        <v>200454</v>
      </c>
      <c r="V80">
        <v>203285</v>
      </c>
      <c r="W80">
        <v>208059</v>
      </c>
      <c r="X80">
        <v>215948</v>
      </c>
      <c r="Y80">
        <v>221069</v>
      </c>
      <c r="Z80">
        <v>224250</v>
      </c>
      <c r="AA80">
        <v>224106</v>
      </c>
      <c r="AB80">
        <v>223756</v>
      </c>
      <c r="AC80">
        <v>223725</v>
      </c>
      <c r="AD80">
        <v>223868</v>
      </c>
      <c r="AE80">
        <v>224218</v>
      </c>
      <c r="AF80">
        <v>222659</v>
      </c>
      <c r="AG80">
        <v>222627</v>
      </c>
      <c r="AH80">
        <v>225808</v>
      </c>
      <c r="AI80">
        <v>230579</v>
      </c>
      <c r="AJ80">
        <v>236305</v>
      </c>
      <c r="AK80">
        <v>241712</v>
      </c>
      <c r="AL80">
        <v>248074</v>
      </c>
      <c r="AM80">
        <v>251920</v>
      </c>
      <c r="AN80">
        <v>248103</v>
      </c>
      <c r="AO80">
        <v>244922</v>
      </c>
      <c r="AP80">
        <v>243303</v>
      </c>
      <c r="AQ80">
        <v>243271</v>
      </c>
      <c r="AR80">
        <v>242126</v>
      </c>
      <c r="AS80">
        <v>238931</v>
      </c>
      <c r="AT80">
        <v>239608</v>
      </c>
      <c r="AU80">
        <v>242642</v>
      </c>
      <c r="AV80">
        <v>249763</v>
      </c>
      <c r="AW80">
        <v>253231</v>
      </c>
      <c r="AX80">
        <v>255231</v>
      </c>
      <c r="AY80">
        <v>255302</v>
      </c>
    </row>
    <row r="81" spans="1:51" x14ac:dyDescent="0.25">
      <c r="A81">
        <v>394902</v>
      </c>
      <c r="B81" t="str">
        <f>IF(E81='Mortgage Calculator'!$H$8,"True","False")</f>
        <v>False</v>
      </c>
      <c r="C81">
        <v>37</v>
      </c>
      <c r="D81" t="s">
        <v>140</v>
      </c>
      <c r="E81" t="s">
        <v>273</v>
      </c>
      <c r="F81" t="s">
        <v>82</v>
      </c>
      <c r="G81" t="s">
        <v>141</v>
      </c>
      <c r="H81">
        <v>383340</v>
      </c>
      <c r="I81">
        <v>384739</v>
      </c>
      <c r="J81">
        <v>386445</v>
      </c>
      <c r="K81">
        <v>388568</v>
      </c>
      <c r="L81">
        <v>388568</v>
      </c>
      <c r="M81">
        <v>386862</v>
      </c>
      <c r="N81">
        <v>383348</v>
      </c>
      <c r="O81">
        <v>376832</v>
      </c>
      <c r="P81">
        <v>372430</v>
      </c>
      <c r="Q81">
        <v>369087</v>
      </c>
      <c r="R81">
        <v>367381</v>
      </c>
      <c r="S81">
        <v>364993</v>
      </c>
      <c r="T81">
        <v>363492</v>
      </c>
      <c r="U81">
        <v>363525</v>
      </c>
      <c r="V81">
        <v>365197</v>
      </c>
      <c r="W81">
        <v>368435</v>
      </c>
      <c r="X81">
        <v>373212</v>
      </c>
      <c r="Y81">
        <v>376623</v>
      </c>
      <c r="Z81">
        <v>376106</v>
      </c>
      <c r="AA81">
        <v>373001</v>
      </c>
      <c r="AB81">
        <v>369589</v>
      </c>
      <c r="AC81">
        <v>368063</v>
      </c>
      <c r="AD81">
        <v>366050</v>
      </c>
      <c r="AE81">
        <v>363355</v>
      </c>
      <c r="AF81">
        <v>360284</v>
      </c>
      <c r="AG81">
        <v>360591</v>
      </c>
      <c r="AH81">
        <v>363287</v>
      </c>
      <c r="AI81">
        <v>366664</v>
      </c>
      <c r="AJ81">
        <v>371475</v>
      </c>
      <c r="AK81">
        <v>376627</v>
      </c>
      <c r="AL81">
        <v>383450</v>
      </c>
      <c r="AM81">
        <v>387169</v>
      </c>
      <c r="AN81">
        <v>390580</v>
      </c>
      <c r="AO81">
        <v>391612</v>
      </c>
      <c r="AP81">
        <v>391305</v>
      </c>
      <c r="AQ81">
        <v>389566</v>
      </c>
      <c r="AR81">
        <v>388587</v>
      </c>
      <c r="AS81">
        <v>394280</v>
      </c>
      <c r="AT81">
        <v>401967</v>
      </c>
      <c r="AU81">
        <v>413967</v>
      </c>
      <c r="AV81">
        <v>426072</v>
      </c>
      <c r="AW81">
        <v>439272</v>
      </c>
      <c r="AX81">
        <v>450905</v>
      </c>
      <c r="AY81">
        <v>453800</v>
      </c>
    </row>
    <row r="82" spans="1:51" x14ac:dyDescent="0.25">
      <c r="A82">
        <v>394355</v>
      </c>
      <c r="B82" t="str">
        <f>IF(E82='Mortgage Calculator'!$H$8,"True","False")</f>
        <v>True</v>
      </c>
      <c r="C82">
        <v>35</v>
      </c>
      <c r="D82" t="s">
        <v>137</v>
      </c>
      <c r="E82" t="s">
        <v>271</v>
      </c>
      <c r="F82" t="s">
        <v>82</v>
      </c>
      <c r="G82" t="s">
        <v>89</v>
      </c>
      <c r="H82">
        <v>371040</v>
      </c>
      <c r="I82">
        <v>372958</v>
      </c>
      <c r="J82">
        <v>377440</v>
      </c>
      <c r="K82">
        <v>382271</v>
      </c>
      <c r="L82">
        <v>383715</v>
      </c>
      <c r="M82">
        <v>383715</v>
      </c>
      <c r="N82">
        <v>380517</v>
      </c>
      <c r="O82">
        <v>374668</v>
      </c>
      <c r="P82">
        <v>368264</v>
      </c>
      <c r="Q82">
        <v>363462</v>
      </c>
      <c r="R82">
        <v>359834</v>
      </c>
      <c r="S82">
        <v>355352</v>
      </c>
      <c r="T82">
        <v>352606</v>
      </c>
      <c r="U82">
        <v>354239</v>
      </c>
      <c r="V82">
        <v>361528</v>
      </c>
      <c r="W82">
        <v>370687</v>
      </c>
      <c r="X82">
        <v>377087</v>
      </c>
      <c r="Y82">
        <v>374601</v>
      </c>
      <c r="Z82">
        <v>366257</v>
      </c>
      <c r="AA82">
        <v>356975</v>
      </c>
      <c r="AB82">
        <v>350572</v>
      </c>
      <c r="AC82">
        <v>347348</v>
      </c>
      <c r="AD82">
        <v>345395</v>
      </c>
      <c r="AE82">
        <v>342193</v>
      </c>
      <c r="AF82">
        <v>342225</v>
      </c>
      <c r="AG82">
        <v>346099</v>
      </c>
      <c r="AH82">
        <v>356801</v>
      </c>
      <c r="AI82">
        <v>364565</v>
      </c>
      <c r="AJ82">
        <v>373210</v>
      </c>
      <c r="AK82">
        <v>383318</v>
      </c>
      <c r="AL82">
        <v>395084</v>
      </c>
      <c r="AM82">
        <v>405650</v>
      </c>
      <c r="AN82">
        <v>413014</v>
      </c>
      <c r="AO82">
        <v>419335</v>
      </c>
      <c r="AP82">
        <v>424527</v>
      </c>
      <c r="AQ82">
        <v>426112</v>
      </c>
      <c r="AR82">
        <v>427651</v>
      </c>
      <c r="AS82">
        <v>434148</v>
      </c>
      <c r="AT82">
        <v>450330</v>
      </c>
      <c r="AU82">
        <v>473000</v>
      </c>
      <c r="AV82">
        <v>489667</v>
      </c>
      <c r="AW82">
        <v>501667</v>
      </c>
      <c r="AX82">
        <v>511667</v>
      </c>
      <c r="AY82">
        <v>519667</v>
      </c>
    </row>
    <row r="83" spans="1:51" x14ac:dyDescent="0.25">
      <c r="A83">
        <v>394514</v>
      </c>
      <c r="B83" t="str">
        <f>IF(E83='Mortgage Calculator'!$H$8,"True","False")</f>
        <v>False</v>
      </c>
      <c r="C83">
        <v>4</v>
      </c>
      <c r="D83" t="s">
        <v>88</v>
      </c>
      <c r="E83" t="s">
        <v>240</v>
      </c>
      <c r="F83" t="s">
        <v>82</v>
      </c>
      <c r="G83" t="s">
        <v>89</v>
      </c>
      <c r="H83">
        <v>341996</v>
      </c>
      <c r="I83">
        <v>345330</v>
      </c>
      <c r="J83">
        <v>351663</v>
      </c>
      <c r="K83">
        <v>359830</v>
      </c>
      <c r="L83">
        <v>366163</v>
      </c>
      <c r="M83">
        <v>366067</v>
      </c>
      <c r="N83">
        <v>359533</v>
      </c>
      <c r="O83">
        <v>351200</v>
      </c>
      <c r="P83">
        <v>344600</v>
      </c>
      <c r="Q83">
        <v>341267</v>
      </c>
      <c r="R83">
        <v>339600</v>
      </c>
      <c r="S83">
        <v>337967</v>
      </c>
      <c r="T83">
        <v>335500</v>
      </c>
      <c r="U83">
        <v>335800</v>
      </c>
      <c r="V83">
        <v>340767</v>
      </c>
      <c r="W83">
        <v>348267</v>
      </c>
      <c r="X83">
        <v>354933</v>
      </c>
      <c r="Y83">
        <v>356467</v>
      </c>
      <c r="Z83">
        <v>354763</v>
      </c>
      <c r="AA83">
        <v>349763</v>
      </c>
      <c r="AB83">
        <v>344929</v>
      </c>
      <c r="AC83">
        <v>341633</v>
      </c>
      <c r="AD83">
        <v>339997</v>
      </c>
      <c r="AE83">
        <v>338330</v>
      </c>
      <c r="AF83">
        <v>335297</v>
      </c>
      <c r="AG83">
        <v>334630</v>
      </c>
      <c r="AH83">
        <v>336297</v>
      </c>
      <c r="AI83">
        <v>339297</v>
      </c>
      <c r="AJ83">
        <v>343133</v>
      </c>
      <c r="AK83">
        <v>348133</v>
      </c>
      <c r="AL83">
        <v>354800</v>
      </c>
      <c r="AM83">
        <v>358267</v>
      </c>
      <c r="AN83">
        <v>359933</v>
      </c>
      <c r="AO83">
        <v>359630</v>
      </c>
      <c r="AP83">
        <v>357837</v>
      </c>
      <c r="AQ83">
        <v>354504</v>
      </c>
      <c r="AR83">
        <v>351507</v>
      </c>
      <c r="AS83">
        <v>352997</v>
      </c>
      <c r="AT83">
        <v>357997</v>
      </c>
      <c r="AU83">
        <v>366660</v>
      </c>
      <c r="AV83">
        <v>375630</v>
      </c>
      <c r="AW83">
        <v>384663</v>
      </c>
      <c r="AX83">
        <v>392000</v>
      </c>
      <c r="AY83">
        <v>395700</v>
      </c>
    </row>
    <row r="84" spans="1:51" x14ac:dyDescent="0.25">
      <c r="A84">
        <v>394561</v>
      </c>
      <c r="B84" t="str">
        <f>IF(E84='Mortgage Calculator'!$H$8,"True","False")</f>
        <v>False</v>
      </c>
      <c r="C84">
        <v>68</v>
      </c>
      <c r="D84" t="s">
        <v>184</v>
      </c>
      <c r="E84" t="s">
        <v>304</v>
      </c>
      <c r="F84" t="s">
        <v>82</v>
      </c>
      <c r="G84" t="s">
        <v>89</v>
      </c>
      <c r="H84">
        <v>183873</v>
      </c>
      <c r="I84">
        <v>184073</v>
      </c>
      <c r="J84">
        <v>184258</v>
      </c>
      <c r="K84">
        <v>184967</v>
      </c>
      <c r="L84">
        <v>185494</v>
      </c>
      <c r="M84">
        <v>187311</v>
      </c>
      <c r="N84">
        <v>189491</v>
      </c>
      <c r="O84">
        <v>191872</v>
      </c>
      <c r="P84">
        <v>192599</v>
      </c>
      <c r="Q84">
        <v>192798</v>
      </c>
      <c r="R84">
        <v>192980</v>
      </c>
      <c r="S84">
        <v>194252</v>
      </c>
      <c r="T84">
        <v>197160</v>
      </c>
      <c r="U84">
        <v>200231</v>
      </c>
      <c r="V84">
        <v>202938</v>
      </c>
      <c r="W84">
        <v>204919</v>
      </c>
      <c r="X84">
        <v>206936</v>
      </c>
      <c r="Y84">
        <v>208571</v>
      </c>
      <c r="Z84">
        <v>208571</v>
      </c>
      <c r="AA84">
        <v>207808</v>
      </c>
      <c r="AB84">
        <v>207099</v>
      </c>
      <c r="AC84">
        <v>207117</v>
      </c>
      <c r="AD84">
        <v>208589</v>
      </c>
      <c r="AE84">
        <v>208586</v>
      </c>
      <c r="AF84">
        <v>208586</v>
      </c>
      <c r="AG84">
        <v>207132</v>
      </c>
      <c r="AH84">
        <v>207132</v>
      </c>
      <c r="AI84">
        <v>206750</v>
      </c>
      <c r="AJ84">
        <v>207677</v>
      </c>
      <c r="AK84">
        <v>209498</v>
      </c>
      <c r="AL84">
        <v>213150</v>
      </c>
      <c r="AM84">
        <v>215840</v>
      </c>
      <c r="AN84">
        <v>217639</v>
      </c>
      <c r="AO84">
        <v>218327</v>
      </c>
      <c r="AS84">
        <v>231600</v>
      </c>
      <c r="AT84">
        <v>233342</v>
      </c>
      <c r="AU84">
        <v>236283</v>
      </c>
      <c r="AV84">
        <v>242283</v>
      </c>
      <c r="AW84">
        <v>248297</v>
      </c>
      <c r="AX84">
        <v>251963</v>
      </c>
      <c r="AY84">
        <v>251963</v>
      </c>
    </row>
    <row r="85" spans="1:51" x14ac:dyDescent="0.25">
      <c r="A85">
        <v>394692</v>
      </c>
      <c r="B85" t="str">
        <f>IF(E85='Mortgage Calculator'!$H$8,"True","False")</f>
        <v>False</v>
      </c>
      <c r="C85">
        <v>6</v>
      </c>
      <c r="D85" t="s">
        <v>92</v>
      </c>
      <c r="E85" t="s">
        <v>242</v>
      </c>
      <c r="F85" t="s">
        <v>82</v>
      </c>
      <c r="G85" t="s">
        <v>89</v>
      </c>
      <c r="H85">
        <v>317020</v>
      </c>
      <c r="I85">
        <v>319337</v>
      </c>
      <c r="J85">
        <v>322714</v>
      </c>
      <c r="K85">
        <v>327479</v>
      </c>
      <c r="L85">
        <v>331068</v>
      </c>
      <c r="M85">
        <v>332504</v>
      </c>
      <c r="N85">
        <v>329371</v>
      </c>
      <c r="O85">
        <v>324476</v>
      </c>
      <c r="P85">
        <v>318148</v>
      </c>
      <c r="Q85">
        <v>314755</v>
      </c>
      <c r="R85">
        <v>311491</v>
      </c>
      <c r="S85">
        <v>309859</v>
      </c>
      <c r="T85">
        <v>308391</v>
      </c>
      <c r="U85">
        <v>309696</v>
      </c>
      <c r="V85">
        <v>312960</v>
      </c>
      <c r="W85">
        <v>317855</v>
      </c>
      <c r="X85">
        <v>321738</v>
      </c>
      <c r="Y85">
        <v>323044</v>
      </c>
      <c r="Z85">
        <v>321379</v>
      </c>
      <c r="AA85">
        <v>317741</v>
      </c>
      <c r="AB85">
        <v>313495</v>
      </c>
      <c r="AC85">
        <v>310589</v>
      </c>
      <c r="AD85">
        <v>308353</v>
      </c>
      <c r="AE85">
        <v>306235</v>
      </c>
      <c r="AF85">
        <v>303953</v>
      </c>
      <c r="AG85">
        <v>303496</v>
      </c>
      <c r="AH85">
        <v>306266</v>
      </c>
      <c r="AI85">
        <v>308845</v>
      </c>
      <c r="AJ85">
        <v>313250</v>
      </c>
      <c r="AK85">
        <v>317790</v>
      </c>
      <c r="AL85">
        <v>323758</v>
      </c>
      <c r="AM85">
        <v>328621</v>
      </c>
      <c r="AN85">
        <v>333059</v>
      </c>
      <c r="AO85">
        <v>336673</v>
      </c>
      <c r="AP85">
        <v>338750</v>
      </c>
      <c r="AQ85">
        <v>337633</v>
      </c>
      <c r="AR85">
        <v>335632</v>
      </c>
      <c r="AS85">
        <v>334934</v>
      </c>
      <c r="AT85">
        <v>339634</v>
      </c>
      <c r="AU85">
        <v>347128</v>
      </c>
      <c r="AV85">
        <v>357825</v>
      </c>
      <c r="AW85">
        <v>366492</v>
      </c>
      <c r="AX85">
        <v>373000</v>
      </c>
      <c r="AY85">
        <v>374445</v>
      </c>
    </row>
    <row r="86" spans="1:51" x14ac:dyDescent="0.25">
      <c r="A86">
        <v>394843</v>
      </c>
      <c r="B86" t="str">
        <f>IF(E86='Mortgage Calculator'!$H$8,"True","False")</f>
        <v>False</v>
      </c>
      <c r="C86">
        <v>71</v>
      </c>
      <c r="D86" t="s">
        <v>187</v>
      </c>
      <c r="E86" t="s">
        <v>307</v>
      </c>
      <c r="F86" t="s">
        <v>82</v>
      </c>
      <c r="G86" t="s">
        <v>89</v>
      </c>
      <c r="H86">
        <v>192167</v>
      </c>
      <c r="I86">
        <v>190467</v>
      </c>
      <c r="J86">
        <v>190433</v>
      </c>
      <c r="K86">
        <v>191567</v>
      </c>
      <c r="L86">
        <v>193100</v>
      </c>
      <c r="M86">
        <v>194800</v>
      </c>
      <c r="N86">
        <v>194833</v>
      </c>
      <c r="O86">
        <v>195000</v>
      </c>
      <c r="P86">
        <v>196000</v>
      </c>
      <c r="Q86">
        <v>195000</v>
      </c>
      <c r="R86">
        <v>193333</v>
      </c>
      <c r="S86">
        <v>190633</v>
      </c>
      <c r="T86">
        <v>189967</v>
      </c>
      <c r="U86">
        <v>192633</v>
      </c>
      <c r="V86">
        <v>195833</v>
      </c>
      <c r="W86">
        <v>200833</v>
      </c>
      <c r="X86">
        <v>204167</v>
      </c>
      <c r="Y86">
        <v>207335</v>
      </c>
      <c r="Z86">
        <v>207335</v>
      </c>
      <c r="AA86">
        <v>204669</v>
      </c>
      <c r="AB86">
        <v>201633</v>
      </c>
      <c r="AC86">
        <v>199967</v>
      </c>
      <c r="AD86">
        <v>199967</v>
      </c>
      <c r="AE86">
        <v>199967</v>
      </c>
      <c r="AF86">
        <v>199800</v>
      </c>
      <c r="AG86">
        <v>199633</v>
      </c>
      <c r="AH86">
        <v>199500</v>
      </c>
      <c r="AI86">
        <v>199333</v>
      </c>
      <c r="AJ86">
        <v>202500</v>
      </c>
      <c r="AK86">
        <v>208100</v>
      </c>
      <c r="AL86">
        <v>215100</v>
      </c>
      <c r="AM86">
        <v>218767</v>
      </c>
      <c r="AN86">
        <v>223000</v>
      </c>
      <c r="AO86">
        <v>227833</v>
      </c>
      <c r="AP86">
        <v>231167</v>
      </c>
      <c r="AQ86">
        <v>230497</v>
      </c>
      <c r="AR86">
        <v>227330</v>
      </c>
      <c r="AS86">
        <v>227330</v>
      </c>
      <c r="AT86">
        <v>231667</v>
      </c>
      <c r="AU86">
        <v>238333</v>
      </c>
      <c r="AV86">
        <v>244667</v>
      </c>
      <c r="AW86">
        <v>250500</v>
      </c>
      <c r="AX86">
        <v>255167</v>
      </c>
      <c r="AY86">
        <v>258833</v>
      </c>
    </row>
    <row r="87" spans="1:51" x14ac:dyDescent="0.25">
      <c r="A87">
        <v>395055</v>
      </c>
      <c r="B87" t="str">
        <f>IF(E87='Mortgage Calculator'!$H$8,"True","False")</f>
        <v>False</v>
      </c>
      <c r="C87">
        <v>26</v>
      </c>
      <c r="D87" t="s">
        <v>125</v>
      </c>
      <c r="E87" t="s">
        <v>262</v>
      </c>
      <c r="F87" t="s">
        <v>82</v>
      </c>
      <c r="G87" t="s">
        <v>89</v>
      </c>
      <c r="H87">
        <v>279967</v>
      </c>
      <c r="I87">
        <v>280000</v>
      </c>
      <c r="J87">
        <v>283000</v>
      </c>
      <c r="K87">
        <v>288667</v>
      </c>
      <c r="L87">
        <v>295095</v>
      </c>
      <c r="M87">
        <v>298428</v>
      </c>
      <c r="N87">
        <v>297761</v>
      </c>
      <c r="O87">
        <v>293500</v>
      </c>
      <c r="P87">
        <v>288478</v>
      </c>
      <c r="Q87">
        <v>283478</v>
      </c>
      <c r="R87">
        <v>281562</v>
      </c>
      <c r="S87">
        <v>280917</v>
      </c>
      <c r="T87">
        <v>280916</v>
      </c>
      <c r="U87">
        <v>280633</v>
      </c>
      <c r="V87">
        <v>281633</v>
      </c>
      <c r="W87">
        <v>284966</v>
      </c>
      <c r="X87">
        <v>289983</v>
      </c>
      <c r="Y87">
        <v>292983</v>
      </c>
      <c r="Z87">
        <v>292950</v>
      </c>
      <c r="AA87">
        <v>289633</v>
      </c>
      <c r="AB87">
        <v>286600</v>
      </c>
      <c r="AC87">
        <v>283297</v>
      </c>
      <c r="AD87">
        <v>281297</v>
      </c>
      <c r="AE87">
        <v>278997</v>
      </c>
      <c r="AF87">
        <v>278633</v>
      </c>
      <c r="AG87">
        <v>278967</v>
      </c>
      <c r="AH87">
        <v>282633</v>
      </c>
      <c r="AI87">
        <v>286167</v>
      </c>
      <c r="AJ87">
        <v>290167</v>
      </c>
      <c r="AK87">
        <v>293800</v>
      </c>
      <c r="AL87">
        <v>297300</v>
      </c>
      <c r="AM87">
        <v>299933</v>
      </c>
      <c r="AN87">
        <v>299600</v>
      </c>
      <c r="AO87">
        <v>297933</v>
      </c>
      <c r="AP87">
        <v>294410</v>
      </c>
      <c r="AQ87">
        <v>290443</v>
      </c>
      <c r="AR87">
        <v>288076</v>
      </c>
      <c r="AS87">
        <v>288963</v>
      </c>
      <c r="AT87">
        <v>292963</v>
      </c>
      <c r="AU87">
        <v>298663</v>
      </c>
      <c r="AV87">
        <v>303833</v>
      </c>
      <c r="AW87">
        <v>312500</v>
      </c>
      <c r="AX87">
        <v>327051</v>
      </c>
      <c r="AY87">
        <v>340475</v>
      </c>
    </row>
    <row r="88" spans="1:51" x14ac:dyDescent="0.25">
      <c r="A88">
        <v>394931</v>
      </c>
      <c r="B88" t="str">
        <f>IF(E88='Mortgage Calculator'!$H$8,"True","False")</f>
        <v>False</v>
      </c>
      <c r="C88">
        <v>89</v>
      </c>
      <c r="D88" t="s">
        <v>208</v>
      </c>
      <c r="E88" t="s">
        <v>325</v>
      </c>
      <c r="F88" t="s">
        <v>82</v>
      </c>
      <c r="G88" t="s">
        <v>162</v>
      </c>
      <c r="H88">
        <v>343463</v>
      </c>
      <c r="I88">
        <v>352146</v>
      </c>
      <c r="J88">
        <v>366095</v>
      </c>
      <c r="K88">
        <v>377883</v>
      </c>
      <c r="L88">
        <v>384857</v>
      </c>
      <c r="M88">
        <v>388065</v>
      </c>
      <c r="N88">
        <v>388484</v>
      </c>
      <c r="O88">
        <v>385031</v>
      </c>
      <c r="P88">
        <v>380045</v>
      </c>
      <c r="Q88">
        <v>374221</v>
      </c>
      <c r="R88">
        <v>372791</v>
      </c>
      <c r="S88">
        <v>374535</v>
      </c>
      <c r="T88">
        <v>382102</v>
      </c>
      <c r="U88">
        <v>390158</v>
      </c>
      <c r="V88">
        <v>398562</v>
      </c>
      <c r="W88">
        <v>405572</v>
      </c>
      <c r="X88">
        <v>409059</v>
      </c>
      <c r="Y88">
        <v>405920</v>
      </c>
      <c r="Z88">
        <v>400306</v>
      </c>
      <c r="AA88">
        <v>395424</v>
      </c>
      <c r="AB88">
        <v>389146</v>
      </c>
      <c r="AC88">
        <v>379033</v>
      </c>
      <c r="AD88">
        <v>371850</v>
      </c>
      <c r="AE88">
        <v>371149</v>
      </c>
      <c r="AF88">
        <v>380390</v>
      </c>
      <c r="AG88">
        <v>391549</v>
      </c>
      <c r="AH88">
        <v>400271</v>
      </c>
      <c r="AI88">
        <v>401491</v>
      </c>
      <c r="AJ88">
        <v>406060</v>
      </c>
      <c r="AK88">
        <v>416836</v>
      </c>
      <c r="AL88">
        <v>432563</v>
      </c>
      <c r="AM88">
        <v>439677</v>
      </c>
      <c r="AN88">
        <v>442816</v>
      </c>
      <c r="AO88">
        <v>443939</v>
      </c>
      <c r="AP88">
        <v>450675</v>
      </c>
      <c r="AQ88">
        <v>458833</v>
      </c>
    </row>
    <row r="89" spans="1:51" x14ac:dyDescent="0.25">
      <c r="A89">
        <v>395006</v>
      </c>
      <c r="B89" t="str">
        <f>IF(E89='Mortgage Calculator'!$H$8,"True","False")</f>
        <v>False</v>
      </c>
      <c r="C89">
        <v>100</v>
      </c>
      <c r="D89" t="s">
        <v>212</v>
      </c>
      <c r="E89" t="s">
        <v>328</v>
      </c>
      <c r="F89" t="s">
        <v>82</v>
      </c>
      <c r="G89" t="s">
        <v>162</v>
      </c>
      <c r="H89">
        <v>387701</v>
      </c>
      <c r="I89">
        <v>395217</v>
      </c>
      <c r="J89">
        <v>405795</v>
      </c>
      <c r="K89">
        <v>410963</v>
      </c>
      <c r="L89">
        <v>407113</v>
      </c>
      <c r="M89">
        <v>400142</v>
      </c>
      <c r="N89">
        <v>396362</v>
      </c>
      <c r="O89">
        <v>395009</v>
      </c>
      <c r="P89">
        <v>393275</v>
      </c>
      <c r="Q89">
        <v>390119</v>
      </c>
      <c r="R89">
        <v>384916</v>
      </c>
      <c r="S89">
        <v>381483</v>
      </c>
      <c r="T89">
        <v>381171</v>
      </c>
      <c r="U89">
        <v>385298</v>
      </c>
      <c r="V89">
        <v>392924</v>
      </c>
      <c r="W89">
        <v>398092</v>
      </c>
      <c r="X89">
        <v>400346</v>
      </c>
      <c r="Y89">
        <v>399657</v>
      </c>
      <c r="Z89">
        <v>401426</v>
      </c>
      <c r="AA89">
        <v>403711</v>
      </c>
      <c r="AB89">
        <v>405064</v>
      </c>
      <c r="AC89">
        <v>402948</v>
      </c>
      <c r="AD89">
        <v>399483</v>
      </c>
      <c r="AE89">
        <v>398131</v>
      </c>
      <c r="AF89">
        <v>399691</v>
      </c>
      <c r="AG89">
        <v>406628</v>
      </c>
      <c r="AH89">
        <v>416652</v>
      </c>
      <c r="AI89">
        <v>421506</v>
      </c>
      <c r="AJ89">
        <v>426708</v>
      </c>
      <c r="AK89">
        <v>432188</v>
      </c>
      <c r="AL89">
        <v>448053</v>
      </c>
      <c r="AM89">
        <v>463277</v>
      </c>
      <c r="AN89">
        <v>476431</v>
      </c>
      <c r="AO89">
        <v>483285</v>
      </c>
      <c r="AP89">
        <v>492340</v>
      </c>
      <c r="AQ89">
        <v>502177</v>
      </c>
      <c r="AR89">
        <v>513574</v>
      </c>
      <c r="AS89">
        <v>520360</v>
      </c>
      <c r="AT89">
        <v>515000</v>
      </c>
      <c r="AU89">
        <v>518000</v>
      </c>
      <c r="AV89">
        <v>526300</v>
      </c>
      <c r="AW89">
        <v>544383</v>
      </c>
      <c r="AX89">
        <v>551383</v>
      </c>
      <c r="AY89">
        <v>554050</v>
      </c>
    </row>
    <row r="90" spans="1:51" x14ac:dyDescent="0.25">
      <c r="A90">
        <v>395053</v>
      </c>
      <c r="B90" t="str">
        <f>IF(E90='Mortgage Calculator'!$H$8,"True","False")</f>
        <v>False</v>
      </c>
      <c r="C90">
        <v>50</v>
      </c>
      <c r="D90" t="s">
        <v>161</v>
      </c>
      <c r="E90" t="s">
        <v>286</v>
      </c>
      <c r="F90" t="s">
        <v>82</v>
      </c>
      <c r="G90" t="s">
        <v>162</v>
      </c>
      <c r="H90">
        <v>419538</v>
      </c>
      <c r="I90">
        <v>424786</v>
      </c>
      <c r="J90">
        <v>432144</v>
      </c>
      <c r="K90">
        <v>438158</v>
      </c>
      <c r="L90">
        <v>445422</v>
      </c>
      <c r="M90">
        <v>449483</v>
      </c>
      <c r="N90">
        <v>450987</v>
      </c>
      <c r="O90">
        <v>448387</v>
      </c>
      <c r="P90">
        <v>443321</v>
      </c>
      <c r="Q90">
        <v>435804</v>
      </c>
      <c r="R90">
        <v>430922</v>
      </c>
      <c r="S90">
        <v>428506</v>
      </c>
      <c r="T90">
        <v>428784</v>
      </c>
      <c r="U90">
        <v>432543</v>
      </c>
      <c r="V90">
        <v>440025</v>
      </c>
      <c r="W90">
        <v>452598</v>
      </c>
      <c r="X90">
        <v>463481</v>
      </c>
      <c r="Y90">
        <v>470497</v>
      </c>
      <c r="Z90">
        <v>468707</v>
      </c>
      <c r="AA90">
        <v>463373</v>
      </c>
      <c r="AB90">
        <v>458147</v>
      </c>
      <c r="AC90">
        <v>456357</v>
      </c>
      <c r="AD90">
        <v>456894</v>
      </c>
      <c r="AE90">
        <v>460510</v>
      </c>
      <c r="AF90">
        <v>467526</v>
      </c>
      <c r="AG90">
        <v>479483</v>
      </c>
      <c r="AH90">
        <v>488396</v>
      </c>
      <c r="AI90">
        <v>486750</v>
      </c>
      <c r="AJ90">
        <v>483170</v>
      </c>
      <c r="AK90">
        <v>485721</v>
      </c>
      <c r="AL90">
        <v>496496</v>
      </c>
      <c r="AM90">
        <v>502080</v>
      </c>
      <c r="AN90">
        <v>501320</v>
      </c>
      <c r="AO90">
        <v>498814</v>
      </c>
      <c r="AP90">
        <v>503861</v>
      </c>
      <c r="AQ90">
        <v>516068</v>
      </c>
    </row>
    <row r="91" spans="1:51" x14ac:dyDescent="0.25">
      <c r="A91">
        <v>395022</v>
      </c>
      <c r="B91" t="str">
        <f>IF(E91='Mortgage Calculator'!$H$8,"True","False")</f>
        <v>False</v>
      </c>
      <c r="C91">
        <v>45</v>
      </c>
      <c r="D91" t="s">
        <v>154</v>
      </c>
      <c r="E91" t="s">
        <v>281</v>
      </c>
      <c r="F91" t="s">
        <v>82</v>
      </c>
      <c r="G91" t="s">
        <v>139</v>
      </c>
      <c r="H91">
        <v>297837</v>
      </c>
      <c r="I91">
        <v>298559</v>
      </c>
      <c r="J91">
        <v>306181</v>
      </c>
      <c r="K91">
        <v>317869</v>
      </c>
      <c r="L91">
        <v>325755</v>
      </c>
      <c r="M91">
        <v>329157</v>
      </c>
      <c r="N91">
        <v>329466</v>
      </c>
      <c r="O91">
        <v>327247</v>
      </c>
      <c r="P91">
        <v>322470</v>
      </c>
      <c r="Q91">
        <v>315631</v>
      </c>
      <c r="R91">
        <v>310979</v>
      </c>
      <c r="S91">
        <v>309226</v>
      </c>
      <c r="T91">
        <v>309192</v>
      </c>
      <c r="U91">
        <v>310927</v>
      </c>
      <c r="V91">
        <v>319552</v>
      </c>
      <c r="W91">
        <v>331597</v>
      </c>
      <c r="X91">
        <v>343590</v>
      </c>
      <c r="Y91">
        <v>348401</v>
      </c>
      <c r="Z91">
        <v>349106</v>
      </c>
      <c r="AA91">
        <v>344638</v>
      </c>
      <c r="AB91">
        <v>338195</v>
      </c>
      <c r="AC91">
        <v>330635</v>
      </c>
      <c r="AD91">
        <v>326511</v>
      </c>
      <c r="AE91">
        <v>326391</v>
      </c>
      <c r="AF91">
        <v>329140</v>
      </c>
      <c r="AG91">
        <v>334295</v>
      </c>
      <c r="AH91">
        <v>341185</v>
      </c>
      <c r="AI91">
        <v>350119</v>
      </c>
      <c r="AJ91">
        <v>359776</v>
      </c>
      <c r="AK91">
        <v>369759</v>
      </c>
      <c r="AL91">
        <v>376958</v>
      </c>
      <c r="AM91">
        <v>381065</v>
      </c>
      <c r="AN91">
        <v>380085</v>
      </c>
      <c r="AO91">
        <v>379588</v>
      </c>
      <c r="AP91">
        <v>379121</v>
      </c>
      <c r="AQ91">
        <v>381630</v>
      </c>
      <c r="AR91">
        <v>384663</v>
      </c>
      <c r="AS91">
        <v>388663</v>
      </c>
      <c r="AT91">
        <v>391997</v>
      </c>
      <c r="AU91">
        <v>391330</v>
      </c>
      <c r="AV91">
        <v>388117</v>
      </c>
      <c r="AW91">
        <v>379767</v>
      </c>
      <c r="AX91">
        <v>371515</v>
      </c>
      <c r="AY91">
        <v>364030</v>
      </c>
    </row>
    <row r="92" spans="1:51" x14ac:dyDescent="0.25">
      <c r="A92">
        <v>395194</v>
      </c>
      <c r="B92" t="str">
        <f>IF(E92='Mortgage Calculator'!$H$8,"True","False")</f>
        <v>False</v>
      </c>
      <c r="C92">
        <v>36</v>
      </c>
      <c r="D92" t="s">
        <v>138</v>
      </c>
      <c r="E92" t="s">
        <v>272</v>
      </c>
      <c r="F92" t="s">
        <v>82</v>
      </c>
      <c r="G92" t="s">
        <v>139</v>
      </c>
      <c r="H92">
        <v>258067</v>
      </c>
      <c r="I92">
        <v>257906</v>
      </c>
      <c r="J92">
        <v>260773</v>
      </c>
      <c r="K92">
        <v>265285</v>
      </c>
      <c r="L92">
        <v>270569</v>
      </c>
      <c r="M92">
        <v>274146</v>
      </c>
      <c r="N92">
        <v>276433</v>
      </c>
      <c r="O92">
        <v>276466</v>
      </c>
      <c r="P92">
        <v>276143</v>
      </c>
      <c r="Q92">
        <v>273856</v>
      </c>
      <c r="R92">
        <v>272212</v>
      </c>
      <c r="S92">
        <v>270440</v>
      </c>
      <c r="T92">
        <v>271278</v>
      </c>
      <c r="U92">
        <v>274210</v>
      </c>
      <c r="V92">
        <v>279204</v>
      </c>
      <c r="W92">
        <v>284811</v>
      </c>
      <c r="X92">
        <v>288323</v>
      </c>
      <c r="Y92">
        <v>289902</v>
      </c>
      <c r="Z92">
        <v>289902</v>
      </c>
      <c r="AA92">
        <v>289902</v>
      </c>
      <c r="AB92">
        <v>289612</v>
      </c>
      <c r="AC92">
        <v>289322</v>
      </c>
      <c r="AD92">
        <v>289322</v>
      </c>
      <c r="AE92">
        <v>289612</v>
      </c>
      <c r="AF92">
        <v>289902</v>
      </c>
      <c r="AG92">
        <v>289934</v>
      </c>
      <c r="AH92">
        <v>293156</v>
      </c>
      <c r="AI92">
        <v>297700</v>
      </c>
      <c r="AJ92">
        <v>304141</v>
      </c>
      <c r="AK92">
        <v>309869</v>
      </c>
      <c r="AL92">
        <v>314992</v>
      </c>
      <c r="AM92">
        <v>318185</v>
      </c>
      <c r="AN92">
        <v>317323</v>
      </c>
      <c r="AO92">
        <v>316356</v>
      </c>
      <c r="AP92">
        <v>312722</v>
      </c>
      <c r="AQ92">
        <v>307967</v>
      </c>
      <c r="AR92">
        <v>302467</v>
      </c>
      <c r="AS92">
        <v>299767</v>
      </c>
      <c r="AT92">
        <v>301467</v>
      </c>
      <c r="AU92">
        <v>306600</v>
      </c>
      <c r="AV92">
        <v>309933</v>
      </c>
      <c r="AW92">
        <v>309930</v>
      </c>
      <c r="AX92">
        <v>304963</v>
      </c>
      <c r="AY92">
        <v>301630</v>
      </c>
    </row>
    <row r="93" spans="1:51" x14ac:dyDescent="0.25">
      <c r="A93">
        <v>395078</v>
      </c>
      <c r="B93" t="str">
        <f>IF(E93='Mortgage Calculator'!$H$8,"True","False")</f>
        <v>False</v>
      </c>
      <c r="C93">
        <v>15</v>
      </c>
      <c r="D93" t="s">
        <v>107</v>
      </c>
      <c r="E93" t="s">
        <v>251</v>
      </c>
      <c r="F93" t="s">
        <v>82</v>
      </c>
      <c r="G93" t="s">
        <v>108</v>
      </c>
      <c r="H93">
        <v>508282</v>
      </c>
      <c r="I93">
        <v>525632</v>
      </c>
      <c r="J93">
        <v>555632</v>
      </c>
      <c r="K93">
        <v>580600</v>
      </c>
      <c r="L93">
        <v>596600</v>
      </c>
      <c r="M93">
        <v>599617</v>
      </c>
      <c r="N93">
        <v>594650</v>
      </c>
      <c r="O93">
        <v>584667</v>
      </c>
      <c r="P93">
        <v>573333</v>
      </c>
      <c r="Q93">
        <v>568333</v>
      </c>
      <c r="R93">
        <v>564983</v>
      </c>
      <c r="S93">
        <v>564150</v>
      </c>
      <c r="T93">
        <v>568817</v>
      </c>
      <c r="U93">
        <v>582167</v>
      </c>
      <c r="V93">
        <v>607983</v>
      </c>
      <c r="W93">
        <v>633300</v>
      </c>
      <c r="X93">
        <v>649950</v>
      </c>
      <c r="Y93">
        <v>651633</v>
      </c>
      <c r="Z93">
        <v>643283</v>
      </c>
      <c r="AA93">
        <v>634630</v>
      </c>
      <c r="AB93">
        <v>626297</v>
      </c>
      <c r="AC93">
        <v>622997</v>
      </c>
      <c r="AD93">
        <v>623333</v>
      </c>
      <c r="AE93">
        <v>627865</v>
      </c>
      <c r="AF93">
        <v>636198</v>
      </c>
      <c r="AG93">
        <v>652865</v>
      </c>
      <c r="AH93">
        <v>666667</v>
      </c>
      <c r="AI93">
        <v>666667</v>
      </c>
      <c r="AJ93">
        <v>666633</v>
      </c>
      <c r="AK93">
        <v>668133</v>
      </c>
      <c r="AL93">
        <v>679478</v>
      </c>
      <c r="AM93">
        <v>679828</v>
      </c>
      <c r="AN93">
        <v>674995</v>
      </c>
      <c r="AO93">
        <v>663633</v>
      </c>
      <c r="AP93">
        <v>653317</v>
      </c>
      <c r="AQ93">
        <v>647983</v>
      </c>
      <c r="AR93">
        <v>654650</v>
      </c>
      <c r="AS93">
        <v>666300</v>
      </c>
      <c r="AT93">
        <v>681633</v>
      </c>
      <c r="AU93">
        <v>693317</v>
      </c>
      <c r="AV93">
        <v>706000</v>
      </c>
      <c r="AW93">
        <v>711667</v>
      </c>
      <c r="AX93">
        <v>709983</v>
      </c>
      <c r="AY93">
        <v>700633</v>
      </c>
    </row>
    <row r="94" spans="1:51" x14ac:dyDescent="0.25">
      <c r="A94">
        <v>394816</v>
      </c>
      <c r="B94" t="str">
        <f>IF(E94='Mortgage Calculator'!$H$8,"True","False")</f>
        <v>False</v>
      </c>
      <c r="C94">
        <v>87</v>
      </c>
      <c r="D94" t="s">
        <v>206</v>
      </c>
      <c r="E94" t="s">
        <v>323</v>
      </c>
      <c r="F94" t="s">
        <v>82</v>
      </c>
      <c r="G94" t="s">
        <v>145</v>
      </c>
      <c r="H94">
        <v>300237</v>
      </c>
      <c r="I94">
        <v>307100</v>
      </c>
      <c r="J94">
        <v>315671</v>
      </c>
      <c r="K94">
        <v>322636</v>
      </c>
      <c r="L94">
        <v>325709</v>
      </c>
      <c r="M94">
        <v>327383</v>
      </c>
      <c r="N94">
        <v>327383</v>
      </c>
      <c r="O94">
        <v>324275</v>
      </c>
      <c r="P94">
        <v>319154</v>
      </c>
      <c r="Q94">
        <v>312359</v>
      </c>
      <c r="R94">
        <v>308944</v>
      </c>
      <c r="S94">
        <v>308944</v>
      </c>
      <c r="T94">
        <v>314032</v>
      </c>
      <c r="U94">
        <v>323968</v>
      </c>
      <c r="V94">
        <v>335919</v>
      </c>
      <c r="W94">
        <v>342748</v>
      </c>
      <c r="X94">
        <v>346162</v>
      </c>
      <c r="Y94">
        <v>345514</v>
      </c>
      <c r="Z94">
        <v>343840</v>
      </c>
      <c r="AA94">
        <v>340733</v>
      </c>
      <c r="AB94">
        <v>336294</v>
      </c>
      <c r="AC94">
        <v>334553</v>
      </c>
      <c r="AD94">
        <v>332846</v>
      </c>
      <c r="AE94">
        <v>332812</v>
      </c>
      <c r="AF94">
        <v>334519</v>
      </c>
      <c r="AG94">
        <v>341348</v>
      </c>
      <c r="AH94">
        <v>349884</v>
      </c>
      <c r="AI94">
        <v>356713</v>
      </c>
      <c r="AJ94">
        <v>360128</v>
      </c>
      <c r="AK94">
        <v>363235</v>
      </c>
      <c r="AL94">
        <v>363235</v>
      </c>
      <c r="AM94">
        <v>359820</v>
      </c>
      <c r="AN94">
        <v>351625</v>
      </c>
      <c r="AO94">
        <v>349679</v>
      </c>
      <c r="AP94">
        <v>349679</v>
      </c>
      <c r="AQ94">
        <v>354938</v>
      </c>
      <c r="AR94">
        <v>357677</v>
      </c>
      <c r="AS94">
        <v>361544</v>
      </c>
      <c r="AT94">
        <v>363533</v>
      </c>
      <c r="AU94">
        <v>364900</v>
      </c>
      <c r="AV94">
        <v>368233</v>
      </c>
      <c r="AW94">
        <v>371567</v>
      </c>
      <c r="AX94">
        <v>373233</v>
      </c>
      <c r="AY94">
        <v>369900</v>
      </c>
    </row>
    <row r="95" spans="1:51" x14ac:dyDescent="0.25">
      <c r="A95">
        <v>394862</v>
      </c>
      <c r="B95" t="str">
        <f>IF(E95='Mortgage Calculator'!$H$8,"True","False")</f>
        <v>False</v>
      </c>
      <c r="C95">
        <v>39</v>
      </c>
      <c r="D95" t="s">
        <v>144</v>
      </c>
      <c r="E95" t="s">
        <v>275</v>
      </c>
      <c r="F95" t="s">
        <v>82</v>
      </c>
      <c r="G95" t="s">
        <v>145</v>
      </c>
      <c r="H95">
        <v>216267</v>
      </c>
      <c r="I95">
        <v>217933</v>
      </c>
      <c r="J95">
        <v>226267</v>
      </c>
      <c r="K95">
        <v>238100</v>
      </c>
      <c r="L95">
        <v>249467</v>
      </c>
      <c r="M95">
        <v>256133</v>
      </c>
      <c r="N95">
        <v>257967</v>
      </c>
      <c r="O95">
        <v>254933</v>
      </c>
      <c r="P95">
        <v>249467</v>
      </c>
      <c r="Q95">
        <v>244133</v>
      </c>
      <c r="R95">
        <v>237467</v>
      </c>
      <c r="S95">
        <v>232633</v>
      </c>
      <c r="T95">
        <v>231267</v>
      </c>
      <c r="U95">
        <v>234300</v>
      </c>
      <c r="V95">
        <v>237933</v>
      </c>
      <c r="W95">
        <v>237967</v>
      </c>
      <c r="X95">
        <v>237467</v>
      </c>
      <c r="Y95">
        <v>237467</v>
      </c>
      <c r="Z95">
        <v>239100</v>
      </c>
      <c r="AA95">
        <v>239900</v>
      </c>
      <c r="AB95">
        <v>236567</v>
      </c>
      <c r="AC95">
        <v>231600</v>
      </c>
      <c r="AD95">
        <v>226467</v>
      </c>
      <c r="AE95">
        <v>221500</v>
      </c>
      <c r="AF95">
        <v>219800</v>
      </c>
      <c r="AG95">
        <v>221600</v>
      </c>
      <c r="AH95">
        <v>231567</v>
      </c>
      <c r="AI95">
        <v>241567</v>
      </c>
      <c r="AJ95">
        <v>251567</v>
      </c>
      <c r="AK95">
        <v>256600</v>
      </c>
      <c r="AL95">
        <v>259967</v>
      </c>
      <c r="AM95">
        <v>256633</v>
      </c>
      <c r="AN95">
        <v>250800</v>
      </c>
      <c r="AO95">
        <v>243467</v>
      </c>
      <c r="AP95">
        <v>236833</v>
      </c>
      <c r="AQ95">
        <v>230967</v>
      </c>
      <c r="AR95">
        <v>224933</v>
      </c>
      <c r="AS95">
        <v>223217</v>
      </c>
      <c r="AT95">
        <v>224883</v>
      </c>
      <c r="AU95">
        <v>230750</v>
      </c>
      <c r="AV95">
        <v>239100</v>
      </c>
      <c r="AW95">
        <v>240767</v>
      </c>
      <c r="AX95">
        <v>236567</v>
      </c>
      <c r="AY95">
        <v>228267</v>
      </c>
    </row>
    <row r="96" spans="1:51" x14ac:dyDescent="0.25">
      <c r="A96">
        <v>102001</v>
      </c>
      <c r="B96" t="str">
        <f>IF(E96='Mortgage Calculator'!$H$8,"True","False")</f>
        <v>False</v>
      </c>
      <c r="C96">
        <v>0</v>
      </c>
      <c r="D96" t="s">
        <v>0</v>
      </c>
      <c r="E96" t="s">
        <v>0</v>
      </c>
      <c r="F96" t="s">
        <v>80</v>
      </c>
      <c r="H96">
        <v>271600</v>
      </c>
      <c r="I96">
        <v>272967</v>
      </c>
      <c r="J96">
        <v>279333</v>
      </c>
      <c r="K96">
        <v>288667</v>
      </c>
      <c r="L96">
        <v>295633</v>
      </c>
      <c r="M96">
        <v>299267</v>
      </c>
      <c r="N96">
        <v>299900</v>
      </c>
      <c r="O96">
        <v>299600</v>
      </c>
      <c r="P96">
        <v>299133</v>
      </c>
      <c r="Q96">
        <v>298467</v>
      </c>
      <c r="R96">
        <v>297100</v>
      </c>
      <c r="S96">
        <v>294233</v>
      </c>
      <c r="T96">
        <v>291567</v>
      </c>
      <c r="U96">
        <v>292933</v>
      </c>
      <c r="V96">
        <v>297967</v>
      </c>
      <c r="W96">
        <v>306333</v>
      </c>
      <c r="X96">
        <v>314167</v>
      </c>
      <c r="Y96">
        <v>320542</v>
      </c>
      <c r="Z96">
        <v>322176</v>
      </c>
      <c r="AA96">
        <v>319676</v>
      </c>
      <c r="AB96">
        <v>315297</v>
      </c>
      <c r="AC96">
        <v>311963</v>
      </c>
      <c r="AD96">
        <v>306963</v>
      </c>
      <c r="AE96">
        <v>303267</v>
      </c>
      <c r="AF96">
        <v>299800</v>
      </c>
      <c r="AG96">
        <v>301467</v>
      </c>
      <c r="AH96">
        <v>306500</v>
      </c>
      <c r="AI96">
        <v>313000</v>
      </c>
      <c r="AJ96">
        <v>320500</v>
      </c>
      <c r="AK96">
        <v>328167</v>
      </c>
      <c r="AL96">
        <v>335167</v>
      </c>
      <c r="AM96">
        <v>340167</v>
      </c>
      <c r="AN96">
        <v>342333</v>
      </c>
      <c r="AO96">
        <v>343667</v>
      </c>
      <c r="AP96">
        <v>342500</v>
      </c>
      <c r="AQ96">
        <v>338160</v>
      </c>
      <c r="AR96">
        <v>333460</v>
      </c>
      <c r="AS96">
        <v>333790</v>
      </c>
      <c r="AT96">
        <v>340480</v>
      </c>
      <c r="AU96">
        <v>353846</v>
      </c>
      <c r="AV96">
        <v>367150</v>
      </c>
      <c r="AW96">
        <v>378296</v>
      </c>
      <c r="AX96">
        <v>381596</v>
      </c>
      <c r="AY96">
        <v>379963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7DBE3-1860-41DA-809C-5C653586B781}">
  <sheetPr codeName="Sheet4"/>
  <dimension ref="A1"/>
  <sheetViews>
    <sheetView workbookViewId="0">
      <selection activeCell="A4" sqref="A1:A4"/>
    </sheetView>
  </sheetViews>
  <sheetFormatPr defaultRowHeight="15" x14ac:dyDescent="0.25"/>
  <cols>
    <col min="1" max="1" width="11.85546875" customWidth="1"/>
    <col min="2" max="2" width="10.85546875" bestFit="1" customWidth="1"/>
    <col min="3" max="3" width="9.85546875" bestFit="1" customWidth="1"/>
    <col min="4" max="6" width="10.7109375" bestFit="1" customWidth="1"/>
    <col min="7" max="11" width="9.85546875" bestFit="1" customWidth="1"/>
    <col min="12" max="14" width="10.85546875" bestFit="1" customWidth="1"/>
    <col min="15" max="15" width="9.85546875" bestFit="1" customWidth="1"/>
    <col min="16" max="18" width="10.7109375" bestFit="1" customWidth="1"/>
    <col min="19" max="22" width="9.85546875" bestFit="1" customWidth="1"/>
    <col min="23" max="26" width="9.71093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AFF94454-8987-4BA5-BFF3-E7E1E859CA6F}">
  <ds:schemaRefs/>
</ds:datastoreItem>
</file>

<file path=customXml/itemProps2.xml><?xml version="1.0" encoding="utf-8"?>
<ds:datastoreItem xmlns:ds="http://schemas.openxmlformats.org/officeDocument/2006/customXml" ds:itemID="{08896739-AC2D-4FB3-AC91-D8BC39A5004D}">
  <ds:schemaRefs/>
</ds:datastoreItem>
</file>

<file path=customXml/itemProps3.xml><?xml version="1.0" encoding="utf-8"?>
<ds:datastoreItem xmlns:ds="http://schemas.openxmlformats.org/officeDocument/2006/customXml" ds:itemID="{81D4C52B-1E17-4EF3-9A8F-04814DEB8C3B}">
  <ds:schemaRefs/>
</ds:datastoreItem>
</file>

<file path=customXml/itemProps4.xml><?xml version="1.0" encoding="utf-8"?>
<ds:datastoreItem xmlns:ds="http://schemas.openxmlformats.org/officeDocument/2006/customXml" ds:itemID="{34F8AE76-8224-4E1E-93BF-7F3E837843F6}">
  <ds:schemaRefs/>
</ds:datastoreItem>
</file>

<file path=customXml/itemProps5.xml><?xml version="1.0" encoding="utf-8"?>
<ds:datastoreItem xmlns:ds="http://schemas.openxmlformats.org/officeDocument/2006/customXml" ds:itemID="{20670A6F-87D6-4DA1-9EB3-A28942CEBDA3}">
  <ds:schemaRefs/>
</ds:datastoreItem>
</file>

<file path=customXml/itemProps6.xml><?xml version="1.0" encoding="utf-8"?>
<ds:datastoreItem xmlns:ds="http://schemas.openxmlformats.org/officeDocument/2006/customXml" ds:itemID="{8954C257-FB98-48D5-9138-1254BBA7D680}">
  <ds:schemaRefs/>
</ds:datastoreItem>
</file>

<file path=customXml/itemProps7.xml><?xml version="1.0" encoding="utf-8"?>
<ds:datastoreItem xmlns:ds="http://schemas.openxmlformats.org/officeDocument/2006/customXml" ds:itemID="{3ABB678D-2641-4F25-8F0E-90FC27C9C223}">
  <ds:schemaRefs/>
</ds:datastoreItem>
</file>

<file path=customXml/itemProps8.xml><?xml version="1.0" encoding="utf-8"?>
<ds:datastoreItem xmlns:ds="http://schemas.openxmlformats.org/officeDocument/2006/customXml" ds:itemID="{33CA259E-2C84-457D-A667-B3C9C1952814}">
  <ds:schemaRefs/>
</ds:datastoreItem>
</file>

<file path=customXml/itemProps9.xml><?xml version="1.0" encoding="utf-8"?>
<ds:datastoreItem xmlns:ds="http://schemas.openxmlformats.org/officeDocument/2006/customXml" ds:itemID="{FA196DDD-898D-416B-A316-423C4104DB26}">
  <ds:schemaRefs/>
</ds:datastoreItem>
</file>

<file path=customXml/itemProps10.xml><?xml version="1.0" encoding="utf-8"?>
<ds:datastoreItem xmlns:ds="http://schemas.openxmlformats.org/officeDocument/2006/customXml" ds:itemID="{362B043B-65ED-4D26-895B-A9F3EB96414E}">
  <ds:schemaRefs/>
</ds:datastoreItem>
</file>

<file path=customXml/itemProps11.xml><?xml version="1.0" encoding="utf-8"?>
<ds:datastoreItem xmlns:ds="http://schemas.openxmlformats.org/officeDocument/2006/customXml" ds:itemID="{AA11156F-6243-4236-8ECD-9753105ABF40}">
  <ds:schemaRefs/>
</ds:datastoreItem>
</file>

<file path=customXml/itemProps12.xml><?xml version="1.0" encoding="utf-8"?>
<ds:datastoreItem xmlns:ds="http://schemas.openxmlformats.org/officeDocument/2006/customXml" ds:itemID="{7DE836D1-887E-4F86-8057-5F7D41E71485}">
  <ds:schemaRefs/>
</ds:datastoreItem>
</file>

<file path=customXml/itemProps13.xml><?xml version="1.0" encoding="utf-8"?>
<ds:datastoreItem xmlns:ds="http://schemas.openxmlformats.org/officeDocument/2006/customXml" ds:itemID="{EBB0D95D-A374-4F8A-948C-13AC24A728D8}">
  <ds:schemaRefs/>
</ds:datastoreItem>
</file>

<file path=customXml/itemProps14.xml><?xml version="1.0" encoding="utf-8"?>
<ds:datastoreItem xmlns:ds="http://schemas.openxmlformats.org/officeDocument/2006/customXml" ds:itemID="{858CE07A-0132-4EB7-AACB-4091A29BA6E1}">
  <ds:schemaRefs/>
</ds:datastoreItem>
</file>

<file path=customXml/itemProps15.xml><?xml version="1.0" encoding="utf-8"?>
<ds:datastoreItem xmlns:ds="http://schemas.openxmlformats.org/officeDocument/2006/customXml" ds:itemID="{939995F1-375E-4F46-A48D-43EE215DC168}">
  <ds:schemaRefs/>
</ds:datastoreItem>
</file>

<file path=customXml/itemProps16.xml><?xml version="1.0" encoding="utf-8"?>
<ds:datastoreItem xmlns:ds="http://schemas.openxmlformats.org/officeDocument/2006/customXml" ds:itemID="{C9358C25-0FE6-4970-8518-0121252C6C77}">
  <ds:schemaRefs/>
</ds:datastoreItem>
</file>

<file path=customXml/itemProps17.xml><?xml version="1.0" encoding="utf-8"?>
<ds:datastoreItem xmlns:ds="http://schemas.openxmlformats.org/officeDocument/2006/customXml" ds:itemID="{B26B634B-0A3C-4C4A-98BC-F34D0A41CA6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Mortgage Calculator</vt:lpstr>
      <vt:lpstr>Income Tax Rates</vt:lpstr>
      <vt:lpstr>List and Sale Prices</vt:lpstr>
      <vt:lpstr>Worksheet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Ghansam</dc:creator>
  <cp:lastModifiedBy>Christopher Ghansam</cp:lastModifiedBy>
  <dcterms:created xsi:type="dcterms:W3CDTF">2015-06-05T18:17:20Z</dcterms:created>
  <dcterms:modified xsi:type="dcterms:W3CDTF">2021-12-06T02:02:26Z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5</vt:i4>
  </property>
</Properties>
</file>